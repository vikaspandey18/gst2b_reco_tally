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+ Invocie No" sheetId="1" state="visible" r:id="rId1"/>
    <sheet xmlns:r="http://schemas.openxmlformats.org/officeDocument/2006/relationships" name="GSTR-2B" sheetId="2" state="visible" r:id="rId2"/>
    <sheet xmlns:r="http://schemas.openxmlformats.org/officeDocument/2006/relationships" name="Book" sheetId="3" state="visible" r:id="rId3"/>
    <sheet xmlns:r="http://schemas.openxmlformats.org/officeDocument/2006/relationships" name="GST Wise Reco" sheetId="4" state="visible" r:id="rId4"/>
    <sheet xmlns:r="http://schemas.openxmlformats.org/officeDocument/2006/relationships" name="Duplicate 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42" customWidth="1" min="24" max="24"/>
    <col width="20" customWidth="1" min="25" max="25"/>
  </cols>
  <sheetData>
    <row r="1">
      <c r="X1" s="1" t="inlineStr">
        <is>
          <t>Book And 2B Match-Invocies No Mis-Match</t>
        </is>
      </c>
    </row>
    <row r="2">
      <c r="Q2" s="2">
        <f>SUBTOTAL(9,Q5:Q182)</f>
        <v/>
      </c>
      <c r="R2" s="2">
        <f>SUBTOTAL(9,R5:R182)</f>
        <v/>
      </c>
      <c r="S2" s="2">
        <f>SUBTOTAL(9,S5:S182)</f>
        <v/>
      </c>
      <c r="T2" s="2">
        <f>SUBTOTAL(9,T5:T182)</f>
        <v/>
      </c>
      <c r="U2" s="2">
        <f>SUBTOTAL(9,U5:U182)</f>
        <v/>
      </c>
    </row>
    <row r="3">
      <c r="E3" s="1" t="inlineStr">
        <is>
          <t xml:space="preserve">As per Book </t>
        </is>
      </c>
      <c r="K3" s="1" t="inlineStr">
        <is>
          <t>As per 2B</t>
        </is>
      </c>
      <c r="Q3" s="1" t="inlineStr">
        <is>
          <t>Diff Book vs 2B</t>
        </is>
      </c>
    </row>
    <row r="4">
      <c r="A4" s="3" t="inlineStr">
        <is>
          <t>PAN / GST No</t>
        </is>
      </c>
      <c r="B4" s="3" t="inlineStr">
        <is>
          <t>GST + Invoices No</t>
        </is>
      </c>
      <c r="C4" s="3" t="inlineStr">
        <is>
          <t>Counts</t>
        </is>
      </c>
      <c r="D4" s="3" t="inlineStr">
        <is>
          <t>0</t>
        </is>
      </c>
      <c r="E4" s="3" t="inlineStr">
        <is>
          <t>Book Taxable Amount</t>
        </is>
      </c>
      <c r="F4" s="3" t="inlineStr">
        <is>
          <t>Book IGST</t>
        </is>
      </c>
      <c r="G4" s="3" t="inlineStr">
        <is>
          <t>Book CGST</t>
        </is>
      </c>
      <c r="H4" s="3" t="inlineStr">
        <is>
          <t>Book SGST</t>
        </is>
      </c>
      <c r="I4" s="3" t="inlineStr">
        <is>
          <t>Cess</t>
        </is>
      </c>
      <c r="J4" s="3" t="inlineStr">
        <is>
          <t>0</t>
        </is>
      </c>
      <c r="K4" s="3" t="inlineStr">
        <is>
          <t>2B Taxable Amount</t>
        </is>
      </c>
      <c r="L4" s="3" t="inlineStr">
        <is>
          <t>2B IGST</t>
        </is>
      </c>
      <c r="M4" s="3" t="inlineStr">
        <is>
          <t>2B CGST</t>
        </is>
      </c>
      <c r="N4" s="3" t="inlineStr">
        <is>
          <t>2B SGST</t>
        </is>
      </c>
      <c r="O4" s="3" t="inlineStr">
        <is>
          <t>Cess</t>
        </is>
      </c>
      <c r="P4" s="3" t="inlineStr">
        <is>
          <t>0</t>
        </is>
      </c>
      <c r="Q4" s="3" t="inlineStr">
        <is>
          <t>Taxable Amount</t>
        </is>
      </c>
      <c r="R4" s="3" t="inlineStr">
        <is>
          <t>IGST</t>
        </is>
      </c>
      <c r="S4" s="3" t="inlineStr">
        <is>
          <t>CGST</t>
        </is>
      </c>
      <c r="T4" s="3" t="inlineStr">
        <is>
          <t>SGST</t>
        </is>
      </c>
      <c r="U4" s="3" t="inlineStr">
        <is>
          <t>Cess</t>
        </is>
      </c>
      <c r="V4" s="3" t="inlineStr">
        <is>
          <t>0</t>
        </is>
      </c>
      <c r="W4" s="3" t="inlineStr">
        <is>
          <t>GST Wise Status</t>
        </is>
      </c>
      <c r="X4" s="3" t="inlineStr">
        <is>
          <t>Status</t>
        </is>
      </c>
      <c r="Y4" s="3" t="inlineStr">
        <is>
          <t xml:space="preserve">Final Remarks </t>
        </is>
      </c>
    </row>
    <row r="5">
      <c r="A5" t="inlineStr">
        <is>
          <t>AAACC6233A</t>
        </is>
      </c>
      <c r="B5" t="inlineStr">
        <is>
          <t>AAACC6233A_420252026120907</t>
        </is>
      </c>
      <c r="D5" t="n">
        <v>0</v>
      </c>
      <c r="E5" s="4">
        <f>SUMIF(Book!$G:$G,$B5,Book!J:J)</f>
        <v/>
      </c>
      <c r="F5" s="4">
        <f>SUMIF(Book!$G:$G,$B5,Book!L:L)</f>
        <v/>
      </c>
      <c r="G5" s="4">
        <f>SUMIF(Book!$G:$G,$B5,Book!M:M)</f>
        <v/>
      </c>
      <c r="H5" s="4">
        <f>SUMIF(Book!$G:$G,$B5,Book!N:N)</f>
        <v/>
      </c>
      <c r="I5" s="4">
        <f>SUMIF(Book!$G:$G,$B5,Book!O:O)</f>
        <v/>
      </c>
      <c r="J5" t="n">
        <v>0</v>
      </c>
      <c r="K5" s="4">
        <f>SUMIF('GSTR-2B'!$G:$G,$B5,'GSTR-2B'!J:J)</f>
        <v/>
      </c>
      <c r="L5" s="4">
        <f>SUMIF('GSTR-2B'!$G:$G,$B5,'GSTR-2B'!L:L)</f>
        <v/>
      </c>
      <c r="M5" s="4">
        <f>SUMIF('GSTR-2B'!$G:$G,$B5,'GSTR-2B'!M:M)</f>
        <v/>
      </c>
      <c r="N5" s="4">
        <f>SUMIF('GSTR-2B'!$G:$G,$B5,'GSTR-2B'!N:N)</f>
        <v/>
      </c>
      <c r="O5" s="4">
        <f>SUMIF('GSTR-2B'!$G:$G,$B5,'GSTR-2B'!O:O)</f>
        <v/>
      </c>
      <c r="P5" t="n">
        <v>0</v>
      </c>
      <c r="Q5" s="4">
        <f>+E5-K5</f>
        <v/>
      </c>
      <c r="R5" s="4">
        <f>+F5-L5</f>
        <v/>
      </c>
      <c r="S5" s="4">
        <f>+G5-M5</f>
        <v/>
      </c>
      <c r="T5" s="4">
        <f>+H5-N5</f>
        <v/>
      </c>
      <c r="U5" s="4">
        <f>+I5-O5</f>
        <v/>
      </c>
      <c r="V5" t="n">
        <v>0</v>
      </c>
      <c r="W5">
        <f>VLOOKUP(A5,'GST Wise Reco'!$A$4:$T$30,20,0)</f>
        <v/>
      </c>
      <c r="X5" t="inlineStr">
        <is>
          <t>Book And 2B Match</t>
        </is>
      </c>
      <c r="Y5" s="5" t="inlineStr">
        <is>
          <t>Book And 2B Match</t>
        </is>
      </c>
    </row>
    <row r="6">
      <c r="A6" t="inlineStr">
        <is>
          <t>AAACI1195H</t>
        </is>
      </c>
      <c r="B6" t="inlineStr">
        <is>
          <t>AAACI1195H_0138251355278901</t>
        </is>
      </c>
      <c r="D6" t="n">
        <v>0</v>
      </c>
      <c r="E6" s="4">
        <f>SUMIF(Book!$G:$G,$B6,Book!J:J)</f>
        <v/>
      </c>
      <c r="F6" s="4">
        <f>SUMIF(Book!$G:$G,$B6,Book!L:L)</f>
        <v/>
      </c>
      <c r="G6" s="4">
        <f>SUMIF(Book!$G:$G,$B6,Book!M:M)</f>
        <v/>
      </c>
      <c r="H6" s="4">
        <f>SUMIF(Book!$G:$G,$B6,Book!N:N)</f>
        <v/>
      </c>
      <c r="I6" s="4">
        <f>SUMIF(Book!$G:$G,$B6,Book!O:O)</f>
        <v/>
      </c>
      <c r="J6" t="n">
        <v>0</v>
      </c>
      <c r="K6" s="4">
        <f>SUMIF('GSTR-2B'!$G:$G,$B6,'GSTR-2B'!J:J)</f>
        <v/>
      </c>
      <c r="L6" s="4">
        <f>SUMIF('GSTR-2B'!$G:$G,$B6,'GSTR-2B'!L:L)</f>
        <v/>
      </c>
      <c r="M6" s="4">
        <f>SUMIF('GSTR-2B'!$G:$G,$B6,'GSTR-2B'!M:M)</f>
        <v/>
      </c>
      <c r="N6" s="4">
        <f>SUMIF('GSTR-2B'!$G:$G,$B6,'GSTR-2B'!N:N)</f>
        <v/>
      </c>
      <c r="O6" s="4">
        <f>SUMIF('GSTR-2B'!$G:$G,$B6,'GSTR-2B'!O:O)</f>
        <v/>
      </c>
      <c r="P6" t="n">
        <v>0</v>
      </c>
      <c r="Q6" s="4">
        <f>+E6-K6</f>
        <v/>
      </c>
      <c r="R6" s="4">
        <f>+F6-L6</f>
        <v/>
      </c>
      <c r="S6" s="4">
        <f>+G6-M6</f>
        <v/>
      </c>
      <c r="T6" s="4">
        <f>+H6-N6</f>
        <v/>
      </c>
      <c r="U6" s="4">
        <f>+I6-O6</f>
        <v/>
      </c>
      <c r="V6" t="n">
        <v>0</v>
      </c>
      <c r="W6">
        <f>VLOOKUP(A6,'GST Wise Reco'!$A$4:$T$30,20,0)</f>
        <v/>
      </c>
      <c r="X6" t="inlineStr">
        <is>
          <t>Book And 2B Match</t>
        </is>
      </c>
      <c r="Y6" s="5" t="inlineStr">
        <is>
          <t>Book And 2B Match</t>
        </is>
      </c>
    </row>
    <row r="7">
      <c r="A7" t="inlineStr">
        <is>
          <t>AAACI1195H</t>
        </is>
      </c>
      <c r="B7" t="inlineStr">
        <is>
          <t>AAACI1195H_0138261372750757</t>
        </is>
      </c>
      <c r="D7" t="n">
        <v>0</v>
      </c>
      <c r="E7" s="4">
        <f>SUMIF(Book!$G:$G,$B7,Book!J:J)</f>
        <v/>
      </c>
      <c r="F7" s="4">
        <f>SUMIF(Book!$G:$G,$B7,Book!L:L)</f>
        <v/>
      </c>
      <c r="G7" s="4">
        <f>SUMIF(Book!$G:$G,$B7,Book!M:M)</f>
        <v/>
      </c>
      <c r="H7" s="4">
        <f>SUMIF(Book!$G:$G,$B7,Book!N:N)</f>
        <v/>
      </c>
      <c r="I7" s="4">
        <f>SUMIF(Book!$G:$G,$B7,Book!O:O)</f>
        <v/>
      </c>
      <c r="J7" t="n">
        <v>0</v>
      </c>
      <c r="K7" s="4">
        <f>SUMIF('GSTR-2B'!$G:$G,$B7,'GSTR-2B'!J:J)</f>
        <v/>
      </c>
      <c r="L7" s="4">
        <f>SUMIF('GSTR-2B'!$G:$G,$B7,'GSTR-2B'!L:L)</f>
        <v/>
      </c>
      <c r="M7" s="4">
        <f>SUMIF('GSTR-2B'!$G:$G,$B7,'GSTR-2B'!M:M)</f>
        <v/>
      </c>
      <c r="N7" s="4">
        <f>SUMIF('GSTR-2B'!$G:$G,$B7,'GSTR-2B'!N:N)</f>
        <v/>
      </c>
      <c r="O7" s="4">
        <f>SUMIF('GSTR-2B'!$G:$G,$B7,'GSTR-2B'!O:O)</f>
        <v/>
      </c>
      <c r="P7" t="n">
        <v>0</v>
      </c>
      <c r="Q7" s="4">
        <f>+E7-K7</f>
        <v/>
      </c>
      <c r="R7" s="4">
        <f>+F7-L7</f>
        <v/>
      </c>
      <c r="S7" s="4">
        <f>+G7-M7</f>
        <v/>
      </c>
      <c r="T7" s="4">
        <f>+H7-N7</f>
        <v/>
      </c>
      <c r="U7" s="4">
        <f>+I7-O7</f>
        <v/>
      </c>
      <c r="V7" t="n">
        <v>0</v>
      </c>
      <c r="W7">
        <f>VLOOKUP(A7,'GST Wise Reco'!$A$4:$T$30,20,0)</f>
        <v/>
      </c>
      <c r="X7" t="inlineStr">
        <is>
          <t>Book And 2B Match</t>
        </is>
      </c>
      <c r="Y7" s="5" t="inlineStr">
        <is>
          <t>Book And 2B Match</t>
        </is>
      </c>
    </row>
    <row r="8">
      <c r="A8" t="inlineStr">
        <is>
          <t>AAACI1195H</t>
        </is>
      </c>
      <c r="B8" t="inlineStr">
        <is>
          <t>AAACI1195H_0138261384051212</t>
        </is>
      </c>
      <c r="D8" t="n">
        <v>0</v>
      </c>
      <c r="E8" s="4">
        <f>SUMIF(Book!$G:$G,$B8,Book!J:J)</f>
        <v/>
      </c>
      <c r="F8" s="4">
        <f>SUMIF(Book!$G:$G,$B8,Book!L:L)</f>
        <v/>
      </c>
      <c r="G8" s="4">
        <f>SUMIF(Book!$G:$G,$B8,Book!M:M)</f>
        <v/>
      </c>
      <c r="H8" s="4">
        <f>SUMIF(Book!$G:$G,$B8,Book!N:N)</f>
        <v/>
      </c>
      <c r="I8" s="4">
        <f>SUMIF(Book!$G:$G,$B8,Book!O:O)</f>
        <v/>
      </c>
      <c r="J8" t="n">
        <v>0</v>
      </c>
      <c r="K8" s="4">
        <f>SUMIF('GSTR-2B'!$G:$G,$B8,'GSTR-2B'!J:J)</f>
        <v/>
      </c>
      <c r="L8" s="4">
        <f>SUMIF('GSTR-2B'!$G:$G,$B8,'GSTR-2B'!L:L)</f>
        <v/>
      </c>
      <c r="M8" s="4">
        <f>SUMIF('GSTR-2B'!$G:$G,$B8,'GSTR-2B'!M:M)</f>
        <v/>
      </c>
      <c r="N8" s="4">
        <f>SUMIF('GSTR-2B'!$G:$G,$B8,'GSTR-2B'!N:N)</f>
        <v/>
      </c>
      <c r="O8" s="4">
        <f>SUMIF('GSTR-2B'!$G:$G,$B8,'GSTR-2B'!O:O)</f>
        <v/>
      </c>
      <c r="P8" t="n">
        <v>0</v>
      </c>
      <c r="Q8" s="4">
        <f>+E8-K8</f>
        <v/>
      </c>
      <c r="R8" s="4">
        <f>+F8-L8</f>
        <v/>
      </c>
      <c r="S8" s="4">
        <f>+G8-M8</f>
        <v/>
      </c>
      <c r="T8" s="4">
        <f>+H8-N8</f>
        <v/>
      </c>
      <c r="U8" s="4">
        <f>+I8-O8</f>
        <v/>
      </c>
      <c r="V8" t="n">
        <v>0</v>
      </c>
      <c r="W8">
        <f>VLOOKUP(A8,'GST Wise Reco'!$A$4:$T$30,20,0)</f>
        <v/>
      </c>
      <c r="X8" t="inlineStr">
        <is>
          <t>Book And 2B Match</t>
        </is>
      </c>
      <c r="Y8" s="5" t="inlineStr">
        <is>
          <t>Book And 2B Match</t>
        </is>
      </c>
    </row>
    <row r="9">
      <c r="A9" t="inlineStr">
        <is>
          <t>AAACI1195H</t>
        </is>
      </c>
      <c r="B9" t="inlineStr">
        <is>
          <t>AAACI1195H_0138261384181047</t>
        </is>
      </c>
      <c r="D9" t="n">
        <v>0</v>
      </c>
      <c r="E9" s="4">
        <f>SUMIF(Book!$G:$G,$B9,Book!J:J)</f>
        <v/>
      </c>
      <c r="F9" s="4">
        <f>SUMIF(Book!$G:$G,$B9,Book!L:L)</f>
        <v/>
      </c>
      <c r="G9" s="4">
        <f>SUMIF(Book!$G:$G,$B9,Book!M:M)</f>
        <v/>
      </c>
      <c r="H9" s="4">
        <f>SUMIF(Book!$G:$G,$B9,Book!N:N)</f>
        <v/>
      </c>
      <c r="I9" s="4">
        <f>SUMIF(Book!$G:$G,$B9,Book!O:O)</f>
        <v/>
      </c>
      <c r="J9" t="n">
        <v>0</v>
      </c>
      <c r="K9" s="4">
        <f>SUMIF('GSTR-2B'!$G:$G,$B9,'GSTR-2B'!J:J)</f>
        <v/>
      </c>
      <c r="L9" s="4">
        <f>SUMIF('GSTR-2B'!$G:$G,$B9,'GSTR-2B'!L:L)</f>
        <v/>
      </c>
      <c r="M9" s="4">
        <f>SUMIF('GSTR-2B'!$G:$G,$B9,'GSTR-2B'!M:M)</f>
        <v/>
      </c>
      <c r="N9" s="4">
        <f>SUMIF('GSTR-2B'!$G:$G,$B9,'GSTR-2B'!N:N)</f>
        <v/>
      </c>
      <c r="O9" s="4">
        <f>SUMIF('GSTR-2B'!$G:$G,$B9,'GSTR-2B'!O:O)</f>
        <v/>
      </c>
      <c r="P9" t="n">
        <v>0</v>
      </c>
      <c r="Q9" s="4">
        <f>+E9-K9</f>
        <v/>
      </c>
      <c r="R9" s="4">
        <f>+F9-L9</f>
        <v/>
      </c>
      <c r="S9" s="4">
        <f>+G9-M9</f>
        <v/>
      </c>
      <c r="T9" s="4">
        <f>+H9-N9</f>
        <v/>
      </c>
      <c r="U9" s="4">
        <f>+I9-O9</f>
        <v/>
      </c>
      <c r="V9" t="n">
        <v>0</v>
      </c>
      <c r="W9">
        <f>VLOOKUP(A9,'GST Wise Reco'!$A$4:$T$30,20,0)</f>
        <v/>
      </c>
      <c r="X9" t="inlineStr">
        <is>
          <t>Book And 2B Match</t>
        </is>
      </c>
      <c r="Y9" s="5" t="inlineStr">
        <is>
          <t>Book And 2B Match</t>
        </is>
      </c>
    </row>
    <row r="10">
      <c r="A10" t="inlineStr">
        <is>
          <t>AAACI1195H</t>
        </is>
      </c>
      <c r="B10" t="inlineStr">
        <is>
          <t>AAACI1195H_0138261384181210</t>
        </is>
      </c>
      <c r="D10" t="n">
        <v>0</v>
      </c>
      <c r="E10" s="4">
        <f>SUMIF(Book!$G:$G,$B10,Book!J:J)</f>
        <v/>
      </c>
      <c r="F10" s="4">
        <f>SUMIF(Book!$G:$G,$B10,Book!L:L)</f>
        <v/>
      </c>
      <c r="G10" s="4">
        <f>SUMIF(Book!$G:$G,$B10,Book!M:M)</f>
        <v/>
      </c>
      <c r="H10" s="4">
        <f>SUMIF(Book!$G:$G,$B10,Book!N:N)</f>
        <v/>
      </c>
      <c r="I10" s="4">
        <f>SUMIF(Book!$G:$G,$B10,Book!O:O)</f>
        <v/>
      </c>
      <c r="J10" t="n">
        <v>0</v>
      </c>
      <c r="K10" s="4">
        <f>SUMIF('GSTR-2B'!$G:$G,$B10,'GSTR-2B'!J:J)</f>
        <v/>
      </c>
      <c r="L10" s="4">
        <f>SUMIF('GSTR-2B'!$G:$G,$B10,'GSTR-2B'!L:L)</f>
        <v/>
      </c>
      <c r="M10" s="4">
        <f>SUMIF('GSTR-2B'!$G:$G,$B10,'GSTR-2B'!M:M)</f>
        <v/>
      </c>
      <c r="N10" s="4">
        <f>SUMIF('GSTR-2B'!$G:$G,$B10,'GSTR-2B'!N:N)</f>
        <v/>
      </c>
      <c r="O10" s="4">
        <f>SUMIF('GSTR-2B'!$G:$G,$B10,'GSTR-2B'!O:O)</f>
        <v/>
      </c>
      <c r="P10" t="n">
        <v>0</v>
      </c>
      <c r="Q10" s="4">
        <f>+E10-K10</f>
        <v/>
      </c>
      <c r="R10" s="4">
        <f>+F10-L10</f>
        <v/>
      </c>
      <c r="S10" s="4">
        <f>+G10-M10</f>
        <v/>
      </c>
      <c r="T10" s="4">
        <f>+H10-N10</f>
        <v/>
      </c>
      <c r="U10" s="4">
        <f>+I10-O10</f>
        <v/>
      </c>
      <c r="V10" t="n">
        <v>0</v>
      </c>
      <c r="W10">
        <f>VLOOKUP(A10,'GST Wise Reco'!$A$4:$T$30,20,0)</f>
        <v/>
      </c>
      <c r="X10" t="inlineStr">
        <is>
          <t>Book And 2B Match</t>
        </is>
      </c>
      <c r="Y10" s="5" t="inlineStr">
        <is>
          <t>Book And 2B Match</t>
        </is>
      </c>
    </row>
    <row r="11">
      <c r="A11" t="inlineStr">
        <is>
          <t>AAACI1195H</t>
        </is>
      </c>
      <c r="B11" t="inlineStr">
        <is>
          <t>AAACI1195H_0138261386221113</t>
        </is>
      </c>
      <c r="D11" t="n">
        <v>0</v>
      </c>
      <c r="E11" s="4">
        <f>SUMIF(Book!$G:$G,$B11,Book!J:J)</f>
        <v/>
      </c>
      <c r="F11" s="4">
        <f>SUMIF(Book!$G:$G,$B11,Book!L:L)</f>
        <v/>
      </c>
      <c r="G11" s="4">
        <f>SUMIF(Book!$G:$G,$B11,Book!M:M)</f>
        <v/>
      </c>
      <c r="H11" s="4">
        <f>SUMIF(Book!$G:$G,$B11,Book!N:N)</f>
        <v/>
      </c>
      <c r="I11" s="4">
        <f>SUMIF(Book!$G:$G,$B11,Book!O:O)</f>
        <v/>
      </c>
      <c r="J11" t="n">
        <v>0</v>
      </c>
      <c r="K11" s="4">
        <f>SUMIF('GSTR-2B'!$G:$G,$B11,'GSTR-2B'!J:J)</f>
        <v/>
      </c>
      <c r="L11" s="4">
        <f>SUMIF('GSTR-2B'!$G:$G,$B11,'GSTR-2B'!L:L)</f>
        <v/>
      </c>
      <c r="M11" s="4">
        <f>SUMIF('GSTR-2B'!$G:$G,$B11,'GSTR-2B'!M:M)</f>
        <v/>
      </c>
      <c r="N11" s="4">
        <f>SUMIF('GSTR-2B'!$G:$G,$B11,'GSTR-2B'!N:N)</f>
        <v/>
      </c>
      <c r="O11" s="4">
        <f>SUMIF('GSTR-2B'!$G:$G,$B11,'GSTR-2B'!O:O)</f>
        <v/>
      </c>
      <c r="P11" t="n">
        <v>0</v>
      </c>
      <c r="Q11" s="4">
        <f>+E11-K11</f>
        <v/>
      </c>
      <c r="R11" s="4">
        <f>+F11-L11</f>
        <v/>
      </c>
      <c r="S11" s="4">
        <f>+G11-M11</f>
        <v/>
      </c>
      <c r="T11" s="4">
        <f>+H11-N11</f>
        <v/>
      </c>
      <c r="U11" s="4">
        <f>+I11-O11</f>
        <v/>
      </c>
      <c r="V11" t="n">
        <v>0</v>
      </c>
      <c r="W11">
        <f>VLOOKUP(A11,'GST Wise Reco'!$A$4:$T$30,20,0)</f>
        <v/>
      </c>
      <c r="X11" t="inlineStr">
        <is>
          <t>Book And 2B Match</t>
        </is>
      </c>
      <c r="Y11" s="5" t="inlineStr">
        <is>
          <t>Book And 2B Match</t>
        </is>
      </c>
    </row>
    <row r="12">
      <c r="A12" t="inlineStr">
        <is>
          <t>AAACP4924D</t>
        </is>
      </c>
      <c r="B12" t="inlineStr">
        <is>
          <t>AAACP4924D_2025-26-2721</t>
        </is>
      </c>
      <c r="D12" t="n">
        <v>0</v>
      </c>
      <c r="E12" s="4">
        <f>SUMIF(Book!$G:$G,$B12,Book!J:J)</f>
        <v/>
      </c>
      <c r="F12" s="4">
        <f>SUMIF(Book!$G:$G,$B12,Book!L:L)</f>
        <v/>
      </c>
      <c r="G12" s="4">
        <f>SUMIF(Book!$G:$G,$B12,Book!M:M)</f>
        <v/>
      </c>
      <c r="H12" s="4">
        <f>SUMIF(Book!$G:$G,$B12,Book!N:N)</f>
        <v/>
      </c>
      <c r="I12" s="4">
        <f>SUMIF(Book!$G:$G,$B12,Book!O:O)</f>
        <v/>
      </c>
      <c r="J12" t="n">
        <v>0</v>
      </c>
      <c r="K12" s="4">
        <f>SUMIF('GSTR-2B'!$G:$G,$B12,'GSTR-2B'!J:J)</f>
        <v/>
      </c>
      <c r="L12" s="4">
        <f>SUMIF('GSTR-2B'!$G:$G,$B12,'GSTR-2B'!L:L)</f>
        <v/>
      </c>
      <c r="M12" s="4">
        <f>SUMIF('GSTR-2B'!$G:$G,$B12,'GSTR-2B'!M:M)</f>
        <v/>
      </c>
      <c r="N12" s="4">
        <f>SUMIF('GSTR-2B'!$G:$G,$B12,'GSTR-2B'!N:N)</f>
        <v/>
      </c>
      <c r="O12" s="4">
        <f>SUMIF('GSTR-2B'!$G:$G,$B12,'GSTR-2B'!O:O)</f>
        <v/>
      </c>
      <c r="P12" t="n">
        <v>0</v>
      </c>
      <c r="Q12" s="4">
        <f>+E12-K12</f>
        <v/>
      </c>
      <c r="R12" s="4">
        <f>+F12-L12</f>
        <v/>
      </c>
      <c r="S12" s="4">
        <f>+G12-M12</f>
        <v/>
      </c>
      <c r="T12" s="4">
        <f>+H12-N12</f>
        <v/>
      </c>
      <c r="U12" s="4">
        <f>+I12-O12</f>
        <v/>
      </c>
      <c r="V12" t="n">
        <v>0</v>
      </c>
      <c r="W12">
        <f>VLOOKUP(A12,'GST Wise Reco'!$A$4:$T$30,20,0)</f>
        <v/>
      </c>
      <c r="X12" t="inlineStr">
        <is>
          <t>Book And 2B Match-Invocies No Mis-Match</t>
        </is>
      </c>
      <c r="Y12" s="5" t="inlineStr">
        <is>
          <t>Book And 2B Match</t>
        </is>
      </c>
    </row>
    <row r="13">
      <c r="A13" t="inlineStr">
        <is>
          <t>AAACP4924D</t>
        </is>
      </c>
      <c r="B13" t="inlineStr">
        <is>
          <t>AAACP4924D_2025-26/2721</t>
        </is>
      </c>
      <c r="D13" t="n">
        <v>0</v>
      </c>
      <c r="E13" s="4">
        <f>SUMIF(Book!$G:$G,$B13,Book!J:J)</f>
        <v/>
      </c>
      <c r="F13" s="4">
        <f>SUMIF(Book!$G:$G,$B13,Book!L:L)</f>
        <v/>
      </c>
      <c r="G13" s="4">
        <f>SUMIF(Book!$G:$G,$B13,Book!M:M)</f>
        <v/>
      </c>
      <c r="H13" s="4">
        <f>SUMIF(Book!$G:$G,$B13,Book!N:N)</f>
        <v/>
      </c>
      <c r="I13" s="4">
        <f>SUMIF(Book!$G:$G,$B13,Book!O:O)</f>
        <v/>
      </c>
      <c r="J13" t="n">
        <v>0</v>
      </c>
      <c r="K13" s="4">
        <f>SUMIF('GSTR-2B'!$G:$G,$B13,'GSTR-2B'!J:J)</f>
        <v/>
      </c>
      <c r="L13" s="4">
        <f>SUMIF('GSTR-2B'!$G:$G,$B13,'GSTR-2B'!L:L)</f>
        <v/>
      </c>
      <c r="M13" s="4">
        <f>SUMIF('GSTR-2B'!$G:$G,$B13,'GSTR-2B'!M:M)</f>
        <v/>
      </c>
      <c r="N13" s="4">
        <f>SUMIF('GSTR-2B'!$G:$G,$B13,'GSTR-2B'!N:N)</f>
        <v/>
      </c>
      <c r="O13" s="4">
        <f>SUMIF('GSTR-2B'!$G:$G,$B13,'GSTR-2B'!O:O)</f>
        <v/>
      </c>
      <c r="P13" t="n">
        <v>0</v>
      </c>
      <c r="Q13" s="4">
        <f>+E13-K13</f>
        <v/>
      </c>
      <c r="R13" s="4">
        <f>+F13-L13</f>
        <v/>
      </c>
      <c r="S13" s="4">
        <f>+G13-M13</f>
        <v/>
      </c>
      <c r="T13" s="4">
        <f>+H13-N13</f>
        <v/>
      </c>
      <c r="U13" s="4">
        <f>+I13-O13</f>
        <v/>
      </c>
      <c r="V13" t="n">
        <v>0</v>
      </c>
      <c r="W13">
        <f>VLOOKUP(A13,'GST Wise Reco'!$A$4:$T$30,20,0)</f>
        <v/>
      </c>
      <c r="X13" t="inlineStr">
        <is>
          <t>Book And 2B Match-Invocies No Mis-Match</t>
        </is>
      </c>
      <c r="Y13" s="5" t="inlineStr">
        <is>
          <t>Book And 2B Match</t>
        </is>
      </c>
    </row>
    <row r="14">
      <c r="A14" t="inlineStr">
        <is>
          <t>AABCF5150G</t>
        </is>
      </c>
      <c r="B14" t="inlineStr">
        <is>
          <t>AABCF5150G_ADS406-104287387</t>
        </is>
      </c>
      <c r="D14" t="n">
        <v>0</v>
      </c>
      <c r="E14" s="4">
        <f>SUMIF(Book!$G:$G,$B14,Book!J:J)</f>
        <v/>
      </c>
      <c r="F14" s="4">
        <f>SUMIF(Book!$G:$G,$B14,Book!L:L)</f>
        <v/>
      </c>
      <c r="G14" s="4">
        <f>SUMIF(Book!$G:$G,$B14,Book!M:M)</f>
        <v/>
      </c>
      <c r="H14" s="4">
        <f>SUMIF(Book!$G:$G,$B14,Book!N:N)</f>
        <v/>
      </c>
      <c r="I14" s="4">
        <f>SUMIF(Book!$G:$G,$B14,Book!O:O)</f>
        <v/>
      </c>
      <c r="J14" t="n">
        <v>0</v>
      </c>
      <c r="K14" s="4">
        <f>SUMIF('GSTR-2B'!$G:$G,$B14,'GSTR-2B'!J:J)</f>
        <v/>
      </c>
      <c r="L14" s="4">
        <f>SUMIF('GSTR-2B'!$G:$G,$B14,'GSTR-2B'!L:L)</f>
        <v/>
      </c>
      <c r="M14" s="4">
        <f>SUMIF('GSTR-2B'!$G:$G,$B14,'GSTR-2B'!M:M)</f>
        <v/>
      </c>
      <c r="N14" s="4">
        <f>SUMIF('GSTR-2B'!$G:$G,$B14,'GSTR-2B'!N:N)</f>
        <v/>
      </c>
      <c r="O14" s="4">
        <f>SUMIF('GSTR-2B'!$G:$G,$B14,'GSTR-2B'!O:O)</f>
        <v/>
      </c>
      <c r="P14" t="n">
        <v>0</v>
      </c>
      <c r="Q14" s="4">
        <f>+E14-K14</f>
        <v/>
      </c>
      <c r="R14" s="4">
        <f>+F14-L14</f>
        <v/>
      </c>
      <c r="S14" s="4">
        <f>+G14-M14</f>
        <v/>
      </c>
      <c r="T14" s="4">
        <f>+H14-N14</f>
        <v/>
      </c>
      <c r="U14" s="4">
        <f>+I14-O14</f>
        <v/>
      </c>
      <c r="V14" t="n">
        <v>0</v>
      </c>
      <c r="W14">
        <f>VLOOKUP(A14,'GST Wise Reco'!$A$4:$T$30,20,0)</f>
        <v/>
      </c>
      <c r="X14" t="inlineStr">
        <is>
          <t>Book And 2B Match</t>
        </is>
      </c>
      <c r="Y14" s="5" t="inlineStr">
        <is>
          <t>Book And 2B Match</t>
        </is>
      </c>
    </row>
    <row r="15">
      <c r="A15" t="inlineStr">
        <is>
          <t>AABCF5150G</t>
        </is>
      </c>
      <c r="B15" t="inlineStr">
        <is>
          <t>AABCF5150G_ADS406-104290423</t>
        </is>
      </c>
      <c r="D15" t="n">
        <v>0</v>
      </c>
      <c r="E15" s="4">
        <f>SUMIF(Book!$G:$G,$B15,Book!J:J)</f>
        <v/>
      </c>
      <c r="F15" s="4">
        <f>SUMIF(Book!$G:$G,$B15,Book!L:L)</f>
        <v/>
      </c>
      <c r="G15" s="4">
        <f>SUMIF(Book!$G:$G,$B15,Book!M:M)</f>
        <v/>
      </c>
      <c r="H15" s="4">
        <f>SUMIF(Book!$G:$G,$B15,Book!N:N)</f>
        <v/>
      </c>
      <c r="I15" s="4">
        <f>SUMIF(Book!$G:$G,$B15,Book!O:O)</f>
        <v/>
      </c>
      <c r="J15" t="n">
        <v>0</v>
      </c>
      <c r="K15" s="4">
        <f>SUMIF('GSTR-2B'!$G:$G,$B15,'GSTR-2B'!J:J)</f>
        <v/>
      </c>
      <c r="L15" s="4">
        <f>SUMIF('GSTR-2B'!$G:$G,$B15,'GSTR-2B'!L:L)</f>
        <v/>
      </c>
      <c r="M15" s="4">
        <f>SUMIF('GSTR-2B'!$G:$G,$B15,'GSTR-2B'!M:M)</f>
        <v/>
      </c>
      <c r="N15" s="4">
        <f>SUMIF('GSTR-2B'!$G:$G,$B15,'GSTR-2B'!N:N)</f>
        <v/>
      </c>
      <c r="O15" s="4">
        <f>SUMIF('GSTR-2B'!$G:$G,$B15,'GSTR-2B'!O:O)</f>
        <v/>
      </c>
      <c r="P15" t="n">
        <v>0</v>
      </c>
      <c r="Q15" s="4">
        <f>+E15-K15</f>
        <v/>
      </c>
      <c r="R15" s="4">
        <f>+F15-L15</f>
        <v/>
      </c>
      <c r="S15" s="4">
        <f>+G15-M15</f>
        <v/>
      </c>
      <c r="T15" s="4">
        <f>+H15-N15</f>
        <v/>
      </c>
      <c r="U15" s="4">
        <f>+I15-O15</f>
        <v/>
      </c>
      <c r="V15" t="n">
        <v>0</v>
      </c>
      <c r="W15">
        <f>VLOOKUP(A15,'GST Wise Reco'!$A$4:$T$30,20,0)</f>
        <v/>
      </c>
      <c r="X15" t="inlineStr">
        <is>
          <t>Book And 2B Match</t>
        </is>
      </c>
      <c r="Y15" s="5" t="inlineStr">
        <is>
          <t>Book And 2B Match</t>
        </is>
      </c>
    </row>
    <row r="16">
      <c r="A16" t="inlineStr">
        <is>
          <t>AABCF5150G</t>
        </is>
      </c>
      <c r="B16" t="inlineStr">
        <is>
          <t>AABCF5150G_ADS406-104296522</t>
        </is>
      </c>
      <c r="D16" t="n">
        <v>0</v>
      </c>
      <c r="E16" s="4">
        <f>SUMIF(Book!$G:$G,$B16,Book!J:J)</f>
        <v/>
      </c>
      <c r="F16" s="4">
        <f>SUMIF(Book!$G:$G,$B16,Book!L:L)</f>
        <v/>
      </c>
      <c r="G16" s="4">
        <f>SUMIF(Book!$G:$G,$B16,Book!M:M)</f>
        <v/>
      </c>
      <c r="H16" s="4">
        <f>SUMIF(Book!$G:$G,$B16,Book!N:N)</f>
        <v/>
      </c>
      <c r="I16" s="4">
        <f>SUMIF(Book!$G:$G,$B16,Book!O:O)</f>
        <v/>
      </c>
      <c r="J16" t="n">
        <v>0</v>
      </c>
      <c r="K16" s="4">
        <f>SUMIF('GSTR-2B'!$G:$G,$B16,'GSTR-2B'!J:J)</f>
        <v/>
      </c>
      <c r="L16" s="4">
        <f>SUMIF('GSTR-2B'!$G:$G,$B16,'GSTR-2B'!L:L)</f>
        <v/>
      </c>
      <c r="M16" s="4">
        <f>SUMIF('GSTR-2B'!$G:$G,$B16,'GSTR-2B'!M:M)</f>
        <v/>
      </c>
      <c r="N16" s="4">
        <f>SUMIF('GSTR-2B'!$G:$G,$B16,'GSTR-2B'!N:N)</f>
        <v/>
      </c>
      <c r="O16" s="4">
        <f>SUMIF('GSTR-2B'!$G:$G,$B16,'GSTR-2B'!O:O)</f>
        <v/>
      </c>
      <c r="P16" t="n">
        <v>0</v>
      </c>
      <c r="Q16" s="4">
        <f>+E16-K16</f>
        <v/>
      </c>
      <c r="R16" s="4">
        <f>+F16-L16</f>
        <v/>
      </c>
      <c r="S16" s="4">
        <f>+G16-M16</f>
        <v/>
      </c>
      <c r="T16" s="4">
        <f>+H16-N16</f>
        <v/>
      </c>
      <c r="U16" s="4">
        <f>+I16-O16</f>
        <v/>
      </c>
      <c r="V16" t="n">
        <v>0</v>
      </c>
      <c r="W16">
        <f>VLOOKUP(A16,'GST Wise Reco'!$A$4:$T$30,20,0)</f>
        <v/>
      </c>
      <c r="X16" t="inlineStr">
        <is>
          <t>Book And 2B Match</t>
        </is>
      </c>
      <c r="Y16" s="5" t="inlineStr">
        <is>
          <t>Book And 2B Match</t>
        </is>
      </c>
    </row>
    <row r="17">
      <c r="A17" t="inlineStr">
        <is>
          <t>AABCF5150G</t>
        </is>
      </c>
      <c r="B17" t="inlineStr">
        <is>
          <t>AABCF5150G_ADS406-104299421</t>
        </is>
      </c>
      <c r="D17" t="n">
        <v>0</v>
      </c>
      <c r="E17" s="4">
        <f>SUMIF(Book!$G:$G,$B17,Book!J:J)</f>
        <v/>
      </c>
      <c r="F17" s="4">
        <f>SUMIF(Book!$G:$G,$B17,Book!L:L)</f>
        <v/>
      </c>
      <c r="G17" s="4">
        <f>SUMIF(Book!$G:$G,$B17,Book!M:M)</f>
        <v/>
      </c>
      <c r="H17" s="4">
        <f>SUMIF(Book!$G:$G,$B17,Book!N:N)</f>
        <v/>
      </c>
      <c r="I17" s="4">
        <f>SUMIF(Book!$G:$G,$B17,Book!O:O)</f>
        <v/>
      </c>
      <c r="J17" t="n">
        <v>0</v>
      </c>
      <c r="K17" s="4">
        <f>SUMIF('GSTR-2B'!$G:$G,$B17,'GSTR-2B'!J:J)</f>
        <v/>
      </c>
      <c r="L17" s="4">
        <f>SUMIF('GSTR-2B'!$G:$G,$B17,'GSTR-2B'!L:L)</f>
        <v/>
      </c>
      <c r="M17" s="4">
        <f>SUMIF('GSTR-2B'!$G:$G,$B17,'GSTR-2B'!M:M)</f>
        <v/>
      </c>
      <c r="N17" s="4">
        <f>SUMIF('GSTR-2B'!$G:$G,$B17,'GSTR-2B'!N:N)</f>
        <v/>
      </c>
      <c r="O17" s="4">
        <f>SUMIF('GSTR-2B'!$G:$G,$B17,'GSTR-2B'!O:O)</f>
        <v/>
      </c>
      <c r="P17" t="n">
        <v>0</v>
      </c>
      <c r="Q17" s="4">
        <f>+E17-K17</f>
        <v/>
      </c>
      <c r="R17" s="4">
        <f>+F17-L17</f>
        <v/>
      </c>
      <c r="S17" s="4">
        <f>+G17-M17</f>
        <v/>
      </c>
      <c r="T17" s="4">
        <f>+H17-N17</f>
        <v/>
      </c>
      <c r="U17" s="4">
        <f>+I17-O17</f>
        <v/>
      </c>
      <c r="V17" t="n">
        <v>0</v>
      </c>
      <c r="W17">
        <f>VLOOKUP(A17,'GST Wise Reco'!$A$4:$T$30,20,0)</f>
        <v/>
      </c>
      <c r="X17" t="inlineStr">
        <is>
          <t>Book And 2B Match</t>
        </is>
      </c>
      <c r="Y17" s="5" t="inlineStr">
        <is>
          <t>Book And 2B Match</t>
        </is>
      </c>
    </row>
    <row r="18">
      <c r="A18" t="inlineStr">
        <is>
          <t>AABCF5150G</t>
        </is>
      </c>
      <c r="B18" t="inlineStr">
        <is>
          <t>AABCF5150G_ADS406-104334095</t>
        </is>
      </c>
      <c r="D18" t="n">
        <v>0</v>
      </c>
      <c r="E18" s="4">
        <f>SUMIF(Book!$G:$G,$B18,Book!J:J)</f>
        <v/>
      </c>
      <c r="F18" s="4">
        <f>SUMIF(Book!$G:$G,$B18,Book!L:L)</f>
        <v/>
      </c>
      <c r="G18" s="4">
        <f>SUMIF(Book!$G:$G,$B18,Book!M:M)</f>
        <v/>
      </c>
      <c r="H18" s="4">
        <f>SUMIF(Book!$G:$G,$B18,Book!N:N)</f>
        <v/>
      </c>
      <c r="I18" s="4">
        <f>SUMIF(Book!$G:$G,$B18,Book!O:O)</f>
        <v/>
      </c>
      <c r="J18" t="n">
        <v>0</v>
      </c>
      <c r="K18" s="4">
        <f>SUMIF('GSTR-2B'!$G:$G,$B18,'GSTR-2B'!J:J)</f>
        <v/>
      </c>
      <c r="L18" s="4">
        <f>SUMIF('GSTR-2B'!$G:$G,$B18,'GSTR-2B'!L:L)</f>
        <v/>
      </c>
      <c r="M18" s="4">
        <f>SUMIF('GSTR-2B'!$G:$G,$B18,'GSTR-2B'!M:M)</f>
        <v/>
      </c>
      <c r="N18" s="4">
        <f>SUMIF('GSTR-2B'!$G:$G,$B18,'GSTR-2B'!N:N)</f>
        <v/>
      </c>
      <c r="O18" s="4">
        <f>SUMIF('GSTR-2B'!$G:$G,$B18,'GSTR-2B'!O:O)</f>
        <v/>
      </c>
      <c r="P18" t="n">
        <v>0</v>
      </c>
      <c r="Q18" s="4">
        <f>+E18-K18</f>
        <v/>
      </c>
      <c r="R18" s="4">
        <f>+F18-L18</f>
        <v/>
      </c>
      <c r="S18" s="4">
        <f>+G18-M18</f>
        <v/>
      </c>
      <c r="T18" s="4">
        <f>+H18-N18</f>
        <v/>
      </c>
      <c r="U18" s="4">
        <f>+I18-O18</f>
        <v/>
      </c>
      <c r="V18" t="n">
        <v>0</v>
      </c>
      <c r="W18">
        <f>VLOOKUP(A18,'GST Wise Reco'!$A$4:$T$30,20,0)</f>
        <v/>
      </c>
      <c r="X18" t="inlineStr">
        <is>
          <t>Book And 2B Match</t>
        </is>
      </c>
      <c r="Y18" s="5" t="inlineStr">
        <is>
          <t>Book And 2B Match</t>
        </is>
      </c>
    </row>
    <row r="19">
      <c r="A19" t="inlineStr">
        <is>
          <t>AABCF5150G</t>
        </is>
      </c>
      <c r="B19" t="inlineStr">
        <is>
          <t>AABCF5150G_ADS406-104336831</t>
        </is>
      </c>
      <c r="D19" t="n">
        <v>0</v>
      </c>
      <c r="E19" s="4">
        <f>SUMIF(Book!$G:$G,$B19,Book!J:J)</f>
        <v/>
      </c>
      <c r="F19" s="4">
        <f>SUMIF(Book!$G:$G,$B19,Book!L:L)</f>
        <v/>
      </c>
      <c r="G19" s="4">
        <f>SUMIF(Book!$G:$G,$B19,Book!M:M)</f>
        <v/>
      </c>
      <c r="H19" s="4">
        <f>SUMIF(Book!$G:$G,$B19,Book!N:N)</f>
        <v/>
      </c>
      <c r="I19" s="4">
        <f>SUMIF(Book!$G:$G,$B19,Book!O:O)</f>
        <v/>
      </c>
      <c r="J19" t="n">
        <v>0</v>
      </c>
      <c r="K19" s="4">
        <f>SUMIF('GSTR-2B'!$G:$G,$B19,'GSTR-2B'!J:J)</f>
        <v/>
      </c>
      <c r="L19" s="4">
        <f>SUMIF('GSTR-2B'!$G:$G,$B19,'GSTR-2B'!L:L)</f>
        <v/>
      </c>
      <c r="M19" s="4">
        <f>SUMIF('GSTR-2B'!$G:$G,$B19,'GSTR-2B'!M:M)</f>
        <v/>
      </c>
      <c r="N19" s="4">
        <f>SUMIF('GSTR-2B'!$G:$G,$B19,'GSTR-2B'!N:N)</f>
        <v/>
      </c>
      <c r="O19" s="4">
        <f>SUMIF('GSTR-2B'!$G:$G,$B19,'GSTR-2B'!O:O)</f>
        <v/>
      </c>
      <c r="P19" t="n">
        <v>0</v>
      </c>
      <c r="Q19" s="4">
        <f>+E19-K19</f>
        <v/>
      </c>
      <c r="R19" s="4">
        <f>+F19-L19</f>
        <v/>
      </c>
      <c r="S19" s="4">
        <f>+G19-M19</f>
        <v/>
      </c>
      <c r="T19" s="4">
        <f>+H19-N19</f>
        <v/>
      </c>
      <c r="U19" s="4">
        <f>+I19-O19</f>
        <v/>
      </c>
      <c r="V19" t="n">
        <v>0</v>
      </c>
      <c r="W19">
        <f>VLOOKUP(A19,'GST Wise Reco'!$A$4:$T$30,20,0)</f>
        <v/>
      </c>
      <c r="X19" t="inlineStr">
        <is>
          <t>Book And 2B Match</t>
        </is>
      </c>
      <c r="Y19" s="5" t="inlineStr">
        <is>
          <t>Book And 2B Match</t>
        </is>
      </c>
    </row>
    <row r="20">
      <c r="A20" t="inlineStr">
        <is>
          <t>AABCF5150G</t>
        </is>
      </c>
      <c r="B20" t="inlineStr">
        <is>
          <t>AABCF5150G_ADS406-104353979</t>
        </is>
      </c>
      <c r="D20" t="n">
        <v>0</v>
      </c>
      <c r="E20" s="4">
        <f>SUMIF(Book!$G:$G,$B20,Book!J:J)</f>
        <v/>
      </c>
      <c r="F20" s="4">
        <f>SUMIF(Book!$G:$G,$B20,Book!L:L)</f>
        <v/>
      </c>
      <c r="G20" s="4">
        <f>SUMIF(Book!$G:$G,$B20,Book!M:M)</f>
        <v/>
      </c>
      <c r="H20" s="4">
        <f>SUMIF(Book!$G:$G,$B20,Book!N:N)</f>
        <v/>
      </c>
      <c r="I20" s="4">
        <f>SUMIF(Book!$G:$G,$B20,Book!O:O)</f>
        <v/>
      </c>
      <c r="J20" t="n">
        <v>0</v>
      </c>
      <c r="K20" s="4">
        <f>SUMIF('GSTR-2B'!$G:$G,$B20,'GSTR-2B'!J:J)</f>
        <v/>
      </c>
      <c r="L20" s="4">
        <f>SUMIF('GSTR-2B'!$G:$G,$B20,'GSTR-2B'!L:L)</f>
        <v/>
      </c>
      <c r="M20" s="4">
        <f>SUMIF('GSTR-2B'!$G:$G,$B20,'GSTR-2B'!M:M)</f>
        <v/>
      </c>
      <c r="N20" s="4">
        <f>SUMIF('GSTR-2B'!$G:$G,$B20,'GSTR-2B'!N:N)</f>
        <v/>
      </c>
      <c r="O20" s="4">
        <f>SUMIF('GSTR-2B'!$G:$G,$B20,'GSTR-2B'!O:O)</f>
        <v/>
      </c>
      <c r="P20" t="n">
        <v>0</v>
      </c>
      <c r="Q20" s="4">
        <f>+E20-K20</f>
        <v/>
      </c>
      <c r="R20" s="4">
        <f>+F20-L20</f>
        <v/>
      </c>
      <c r="S20" s="4">
        <f>+G20-M20</f>
        <v/>
      </c>
      <c r="T20" s="4">
        <f>+H20-N20</f>
        <v/>
      </c>
      <c r="U20" s="4">
        <f>+I20-O20</f>
        <v/>
      </c>
      <c r="V20" t="n">
        <v>0</v>
      </c>
      <c r="W20">
        <f>VLOOKUP(A20,'GST Wise Reco'!$A$4:$T$30,20,0)</f>
        <v/>
      </c>
      <c r="X20" t="inlineStr">
        <is>
          <t>Book And 2B Match</t>
        </is>
      </c>
      <c r="Y20" s="5" t="inlineStr">
        <is>
          <t>Book And 2B Match</t>
        </is>
      </c>
    </row>
    <row r="21">
      <c r="A21" t="inlineStr">
        <is>
          <t>AABCF5150G</t>
        </is>
      </c>
      <c r="B21" t="inlineStr">
        <is>
          <t>AABCF5150G_ADS406-104356904</t>
        </is>
      </c>
      <c r="D21" t="n">
        <v>0</v>
      </c>
      <c r="E21" s="4">
        <f>SUMIF(Book!$G:$G,$B21,Book!J:J)</f>
        <v/>
      </c>
      <c r="F21" s="4">
        <f>SUMIF(Book!$G:$G,$B21,Book!L:L)</f>
        <v/>
      </c>
      <c r="G21" s="4">
        <f>SUMIF(Book!$G:$G,$B21,Book!M:M)</f>
        <v/>
      </c>
      <c r="H21" s="4">
        <f>SUMIF(Book!$G:$G,$B21,Book!N:N)</f>
        <v/>
      </c>
      <c r="I21" s="4">
        <f>SUMIF(Book!$G:$G,$B21,Book!O:O)</f>
        <v/>
      </c>
      <c r="J21" t="n">
        <v>0</v>
      </c>
      <c r="K21" s="4">
        <f>SUMIF('GSTR-2B'!$G:$G,$B21,'GSTR-2B'!J:J)</f>
        <v/>
      </c>
      <c r="L21" s="4">
        <f>SUMIF('GSTR-2B'!$G:$G,$B21,'GSTR-2B'!L:L)</f>
        <v/>
      </c>
      <c r="M21" s="4">
        <f>SUMIF('GSTR-2B'!$G:$G,$B21,'GSTR-2B'!M:M)</f>
        <v/>
      </c>
      <c r="N21" s="4">
        <f>SUMIF('GSTR-2B'!$G:$G,$B21,'GSTR-2B'!N:N)</f>
        <v/>
      </c>
      <c r="O21" s="4">
        <f>SUMIF('GSTR-2B'!$G:$G,$B21,'GSTR-2B'!O:O)</f>
        <v/>
      </c>
      <c r="P21" t="n">
        <v>0</v>
      </c>
      <c r="Q21" s="4">
        <f>+E21-K21</f>
        <v/>
      </c>
      <c r="R21" s="4">
        <f>+F21-L21</f>
        <v/>
      </c>
      <c r="S21" s="4">
        <f>+G21-M21</f>
        <v/>
      </c>
      <c r="T21" s="4">
        <f>+H21-N21</f>
        <v/>
      </c>
      <c r="U21" s="4">
        <f>+I21-O21</f>
        <v/>
      </c>
      <c r="V21" t="n">
        <v>0</v>
      </c>
      <c r="W21">
        <f>VLOOKUP(A21,'GST Wise Reco'!$A$4:$T$30,20,0)</f>
        <v/>
      </c>
      <c r="X21" t="inlineStr">
        <is>
          <t>Book And 2B Match</t>
        </is>
      </c>
      <c r="Y21" s="5" t="inlineStr">
        <is>
          <t>Book And 2B Match</t>
        </is>
      </c>
    </row>
    <row r="22">
      <c r="A22" t="inlineStr">
        <is>
          <t>AABCF5150G</t>
        </is>
      </c>
      <c r="B22" t="inlineStr">
        <is>
          <t>AABCF5150G_ADS406-104359679</t>
        </is>
      </c>
      <c r="D22" t="n">
        <v>0</v>
      </c>
      <c r="E22" s="4">
        <f>SUMIF(Book!$G:$G,$B22,Book!J:J)</f>
        <v/>
      </c>
      <c r="F22" s="4">
        <f>SUMIF(Book!$G:$G,$B22,Book!L:L)</f>
        <v/>
      </c>
      <c r="G22" s="4">
        <f>SUMIF(Book!$G:$G,$B22,Book!M:M)</f>
        <v/>
      </c>
      <c r="H22" s="4">
        <f>SUMIF(Book!$G:$G,$B22,Book!N:N)</f>
        <v/>
      </c>
      <c r="I22" s="4">
        <f>SUMIF(Book!$G:$G,$B22,Book!O:O)</f>
        <v/>
      </c>
      <c r="J22" t="n">
        <v>0</v>
      </c>
      <c r="K22" s="4">
        <f>SUMIF('GSTR-2B'!$G:$G,$B22,'GSTR-2B'!J:J)</f>
        <v/>
      </c>
      <c r="L22" s="4">
        <f>SUMIF('GSTR-2B'!$G:$G,$B22,'GSTR-2B'!L:L)</f>
        <v/>
      </c>
      <c r="M22" s="4">
        <f>SUMIF('GSTR-2B'!$G:$G,$B22,'GSTR-2B'!M:M)</f>
        <v/>
      </c>
      <c r="N22" s="4">
        <f>SUMIF('GSTR-2B'!$G:$G,$B22,'GSTR-2B'!N:N)</f>
        <v/>
      </c>
      <c r="O22" s="4">
        <f>SUMIF('GSTR-2B'!$G:$G,$B22,'GSTR-2B'!O:O)</f>
        <v/>
      </c>
      <c r="P22" t="n">
        <v>0</v>
      </c>
      <c r="Q22" s="4">
        <f>+E22-K22</f>
        <v/>
      </c>
      <c r="R22" s="4">
        <f>+F22-L22</f>
        <v/>
      </c>
      <c r="S22" s="4">
        <f>+G22-M22</f>
        <v/>
      </c>
      <c r="T22" s="4">
        <f>+H22-N22</f>
        <v/>
      </c>
      <c r="U22" s="4">
        <f>+I22-O22</f>
        <v/>
      </c>
      <c r="V22" t="n">
        <v>0</v>
      </c>
      <c r="W22">
        <f>VLOOKUP(A22,'GST Wise Reco'!$A$4:$T$30,20,0)</f>
        <v/>
      </c>
      <c r="X22" t="inlineStr">
        <is>
          <t>Book And 2B Match</t>
        </is>
      </c>
      <c r="Y22" s="5" t="inlineStr">
        <is>
          <t>Book And 2B Match</t>
        </is>
      </c>
    </row>
    <row r="23">
      <c r="A23" t="inlineStr">
        <is>
          <t>AABCF5150G</t>
        </is>
      </c>
      <c r="B23" t="inlineStr">
        <is>
          <t>AABCF5150G_ADS406-104368307</t>
        </is>
      </c>
      <c r="D23" t="n">
        <v>0</v>
      </c>
      <c r="E23" s="4">
        <f>SUMIF(Book!$G:$G,$B23,Book!J:J)</f>
        <v/>
      </c>
      <c r="F23" s="4">
        <f>SUMIF(Book!$G:$G,$B23,Book!L:L)</f>
        <v/>
      </c>
      <c r="G23" s="4">
        <f>SUMIF(Book!$G:$G,$B23,Book!M:M)</f>
        <v/>
      </c>
      <c r="H23" s="4">
        <f>SUMIF(Book!$G:$G,$B23,Book!N:N)</f>
        <v/>
      </c>
      <c r="I23" s="4">
        <f>SUMIF(Book!$G:$G,$B23,Book!O:O)</f>
        <v/>
      </c>
      <c r="J23" t="n">
        <v>0</v>
      </c>
      <c r="K23" s="4">
        <f>SUMIF('GSTR-2B'!$G:$G,$B23,'GSTR-2B'!J:J)</f>
        <v/>
      </c>
      <c r="L23" s="4">
        <f>SUMIF('GSTR-2B'!$G:$G,$B23,'GSTR-2B'!L:L)</f>
        <v/>
      </c>
      <c r="M23" s="4">
        <f>SUMIF('GSTR-2B'!$G:$G,$B23,'GSTR-2B'!M:M)</f>
        <v/>
      </c>
      <c r="N23" s="4">
        <f>SUMIF('GSTR-2B'!$G:$G,$B23,'GSTR-2B'!N:N)</f>
        <v/>
      </c>
      <c r="O23" s="4">
        <f>SUMIF('GSTR-2B'!$G:$G,$B23,'GSTR-2B'!O:O)</f>
        <v/>
      </c>
      <c r="P23" t="n">
        <v>0</v>
      </c>
      <c r="Q23" s="4">
        <f>+E23-K23</f>
        <v/>
      </c>
      <c r="R23" s="4">
        <f>+F23-L23</f>
        <v/>
      </c>
      <c r="S23" s="4">
        <f>+G23-M23</f>
        <v/>
      </c>
      <c r="T23" s="4">
        <f>+H23-N23</f>
        <v/>
      </c>
      <c r="U23" s="4">
        <f>+I23-O23</f>
        <v/>
      </c>
      <c r="V23" t="n">
        <v>0</v>
      </c>
      <c r="W23">
        <f>VLOOKUP(A23,'GST Wise Reco'!$A$4:$T$30,20,0)</f>
        <v/>
      </c>
      <c r="X23" t="inlineStr">
        <is>
          <t>Book And 2B Match</t>
        </is>
      </c>
      <c r="Y23" s="5" t="inlineStr">
        <is>
          <t>Book And 2B Match</t>
        </is>
      </c>
    </row>
    <row r="24">
      <c r="A24" t="inlineStr">
        <is>
          <t>AABCF5150G</t>
        </is>
      </c>
      <c r="B24" t="inlineStr">
        <is>
          <t>AABCF5150G_ADS406-104371660</t>
        </is>
      </c>
      <c r="D24" t="n">
        <v>0</v>
      </c>
      <c r="E24" s="4">
        <f>SUMIF(Book!$G:$G,$B24,Book!J:J)</f>
        <v/>
      </c>
      <c r="F24" s="4">
        <f>SUMIF(Book!$G:$G,$B24,Book!L:L)</f>
        <v/>
      </c>
      <c r="G24" s="4">
        <f>SUMIF(Book!$G:$G,$B24,Book!M:M)</f>
        <v/>
      </c>
      <c r="H24" s="4">
        <f>SUMIF(Book!$G:$G,$B24,Book!N:N)</f>
        <v/>
      </c>
      <c r="I24" s="4">
        <f>SUMIF(Book!$G:$G,$B24,Book!O:O)</f>
        <v/>
      </c>
      <c r="J24" t="n">
        <v>0</v>
      </c>
      <c r="K24" s="4">
        <f>SUMIF('GSTR-2B'!$G:$G,$B24,'GSTR-2B'!J:J)</f>
        <v/>
      </c>
      <c r="L24" s="4">
        <f>SUMIF('GSTR-2B'!$G:$G,$B24,'GSTR-2B'!L:L)</f>
        <v/>
      </c>
      <c r="M24" s="4">
        <f>SUMIF('GSTR-2B'!$G:$G,$B24,'GSTR-2B'!M:M)</f>
        <v/>
      </c>
      <c r="N24" s="4">
        <f>SUMIF('GSTR-2B'!$G:$G,$B24,'GSTR-2B'!N:N)</f>
        <v/>
      </c>
      <c r="O24" s="4">
        <f>SUMIF('GSTR-2B'!$G:$G,$B24,'GSTR-2B'!O:O)</f>
        <v/>
      </c>
      <c r="P24" t="n">
        <v>0</v>
      </c>
      <c r="Q24" s="4">
        <f>+E24-K24</f>
        <v/>
      </c>
      <c r="R24" s="4">
        <f>+F24-L24</f>
        <v/>
      </c>
      <c r="S24" s="4">
        <f>+G24-M24</f>
        <v/>
      </c>
      <c r="T24" s="4">
        <f>+H24-N24</f>
        <v/>
      </c>
      <c r="U24" s="4">
        <f>+I24-O24</f>
        <v/>
      </c>
      <c r="V24" t="n">
        <v>0</v>
      </c>
      <c r="W24">
        <f>VLOOKUP(A24,'GST Wise Reco'!$A$4:$T$30,20,0)</f>
        <v/>
      </c>
      <c r="X24" t="inlineStr">
        <is>
          <t>Book And 2B Match</t>
        </is>
      </c>
      <c r="Y24" s="5" t="inlineStr">
        <is>
          <t>Book And 2B Match</t>
        </is>
      </c>
    </row>
    <row r="25">
      <c r="A25" t="inlineStr">
        <is>
          <t>AABCF5150G</t>
        </is>
      </c>
      <c r="B25" t="inlineStr">
        <is>
          <t>AABCF5150G_ADS406-104380265</t>
        </is>
      </c>
      <c r="D25" t="n">
        <v>0</v>
      </c>
      <c r="E25" s="4">
        <f>SUMIF(Book!$G:$G,$B25,Book!J:J)</f>
        <v/>
      </c>
      <c r="F25" s="4">
        <f>SUMIF(Book!$G:$G,$B25,Book!L:L)</f>
        <v/>
      </c>
      <c r="G25" s="4">
        <f>SUMIF(Book!$G:$G,$B25,Book!M:M)</f>
        <v/>
      </c>
      <c r="H25" s="4">
        <f>SUMIF(Book!$G:$G,$B25,Book!N:N)</f>
        <v/>
      </c>
      <c r="I25" s="4">
        <f>SUMIF(Book!$G:$G,$B25,Book!O:O)</f>
        <v/>
      </c>
      <c r="J25" t="n">
        <v>0</v>
      </c>
      <c r="K25" s="4">
        <f>SUMIF('GSTR-2B'!$G:$G,$B25,'GSTR-2B'!J:J)</f>
        <v/>
      </c>
      <c r="L25" s="4">
        <f>SUMIF('GSTR-2B'!$G:$G,$B25,'GSTR-2B'!L:L)</f>
        <v/>
      </c>
      <c r="M25" s="4">
        <f>SUMIF('GSTR-2B'!$G:$G,$B25,'GSTR-2B'!M:M)</f>
        <v/>
      </c>
      <c r="N25" s="4">
        <f>SUMIF('GSTR-2B'!$G:$G,$B25,'GSTR-2B'!N:N)</f>
        <v/>
      </c>
      <c r="O25" s="4">
        <f>SUMIF('GSTR-2B'!$G:$G,$B25,'GSTR-2B'!O:O)</f>
        <v/>
      </c>
      <c r="P25" t="n">
        <v>0</v>
      </c>
      <c r="Q25" s="4">
        <f>+E25-K25</f>
        <v/>
      </c>
      <c r="R25" s="4">
        <f>+F25-L25</f>
        <v/>
      </c>
      <c r="S25" s="4">
        <f>+G25-M25</f>
        <v/>
      </c>
      <c r="T25" s="4">
        <f>+H25-N25</f>
        <v/>
      </c>
      <c r="U25" s="4">
        <f>+I25-O25</f>
        <v/>
      </c>
      <c r="V25" t="n">
        <v>0</v>
      </c>
      <c r="W25">
        <f>VLOOKUP(A25,'GST Wise Reco'!$A$4:$T$30,20,0)</f>
        <v/>
      </c>
      <c r="X25" t="inlineStr">
        <is>
          <t>Book And 2B Match</t>
        </is>
      </c>
      <c r="Y25" s="5" t="inlineStr">
        <is>
          <t>Book And 2B Match</t>
        </is>
      </c>
    </row>
    <row r="26">
      <c r="A26" t="inlineStr">
        <is>
          <t>AABCF5150G</t>
        </is>
      </c>
      <c r="B26" t="inlineStr">
        <is>
          <t>AABCF5150G_ADS406-104383153</t>
        </is>
      </c>
      <c r="D26" t="n">
        <v>0</v>
      </c>
      <c r="E26" s="4">
        <f>SUMIF(Book!$G:$G,$B26,Book!J:J)</f>
        <v/>
      </c>
      <c r="F26" s="4">
        <f>SUMIF(Book!$G:$G,$B26,Book!L:L)</f>
        <v/>
      </c>
      <c r="G26" s="4">
        <f>SUMIF(Book!$G:$G,$B26,Book!M:M)</f>
        <v/>
      </c>
      <c r="H26" s="4">
        <f>SUMIF(Book!$G:$G,$B26,Book!N:N)</f>
        <v/>
      </c>
      <c r="I26" s="4">
        <f>SUMIF(Book!$G:$G,$B26,Book!O:O)</f>
        <v/>
      </c>
      <c r="J26" t="n">
        <v>0</v>
      </c>
      <c r="K26" s="4">
        <f>SUMIF('GSTR-2B'!$G:$G,$B26,'GSTR-2B'!J:J)</f>
        <v/>
      </c>
      <c r="L26" s="4">
        <f>SUMIF('GSTR-2B'!$G:$G,$B26,'GSTR-2B'!L:L)</f>
        <v/>
      </c>
      <c r="M26" s="4">
        <f>SUMIF('GSTR-2B'!$G:$G,$B26,'GSTR-2B'!M:M)</f>
        <v/>
      </c>
      <c r="N26" s="4">
        <f>SUMIF('GSTR-2B'!$G:$G,$B26,'GSTR-2B'!N:N)</f>
        <v/>
      </c>
      <c r="O26" s="4">
        <f>SUMIF('GSTR-2B'!$G:$G,$B26,'GSTR-2B'!O:O)</f>
        <v/>
      </c>
      <c r="P26" t="n">
        <v>0</v>
      </c>
      <c r="Q26" s="4">
        <f>+E26-K26</f>
        <v/>
      </c>
      <c r="R26" s="4">
        <f>+F26-L26</f>
        <v/>
      </c>
      <c r="S26" s="4">
        <f>+G26-M26</f>
        <v/>
      </c>
      <c r="T26" s="4">
        <f>+H26-N26</f>
        <v/>
      </c>
      <c r="U26" s="4">
        <f>+I26-O26</f>
        <v/>
      </c>
      <c r="V26" t="n">
        <v>0</v>
      </c>
      <c r="W26">
        <f>VLOOKUP(A26,'GST Wise Reco'!$A$4:$T$30,20,0)</f>
        <v/>
      </c>
      <c r="X26" t="inlineStr">
        <is>
          <t>Book And 2B Match</t>
        </is>
      </c>
      <c r="Y26" s="5" t="inlineStr">
        <is>
          <t>Book And 2B Match</t>
        </is>
      </c>
    </row>
    <row r="27">
      <c r="A27" t="inlineStr">
        <is>
          <t>AABCF5150G</t>
        </is>
      </c>
      <c r="B27" t="inlineStr">
        <is>
          <t>AABCF5150G_ADS406-104399344</t>
        </is>
      </c>
      <c r="D27" t="n">
        <v>0</v>
      </c>
      <c r="E27" s="4">
        <f>SUMIF(Book!$G:$G,$B27,Book!J:J)</f>
        <v/>
      </c>
      <c r="F27" s="4">
        <f>SUMIF(Book!$G:$G,$B27,Book!L:L)</f>
        <v/>
      </c>
      <c r="G27" s="4">
        <f>SUMIF(Book!$G:$G,$B27,Book!M:M)</f>
        <v/>
      </c>
      <c r="H27" s="4">
        <f>SUMIF(Book!$G:$G,$B27,Book!N:N)</f>
        <v/>
      </c>
      <c r="I27" s="4">
        <f>SUMIF(Book!$G:$G,$B27,Book!O:O)</f>
        <v/>
      </c>
      <c r="J27" t="n">
        <v>0</v>
      </c>
      <c r="K27" s="4">
        <f>SUMIF('GSTR-2B'!$G:$G,$B27,'GSTR-2B'!J:J)</f>
        <v/>
      </c>
      <c r="L27" s="4">
        <f>SUMIF('GSTR-2B'!$G:$G,$B27,'GSTR-2B'!L:L)</f>
        <v/>
      </c>
      <c r="M27" s="4">
        <f>SUMIF('GSTR-2B'!$G:$G,$B27,'GSTR-2B'!M:M)</f>
        <v/>
      </c>
      <c r="N27" s="4">
        <f>SUMIF('GSTR-2B'!$G:$G,$B27,'GSTR-2B'!N:N)</f>
        <v/>
      </c>
      <c r="O27" s="4">
        <f>SUMIF('GSTR-2B'!$G:$G,$B27,'GSTR-2B'!O:O)</f>
        <v/>
      </c>
      <c r="P27" t="n">
        <v>0</v>
      </c>
      <c r="Q27" s="4">
        <f>+E27-K27</f>
        <v/>
      </c>
      <c r="R27" s="4">
        <f>+F27-L27</f>
        <v/>
      </c>
      <c r="S27" s="4">
        <f>+G27-M27</f>
        <v/>
      </c>
      <c r="T27" s="4">
        <f>+H27-N27</f>
        <v/>
      </c>
      <c r="U27" s="4">
        <f>+I27-O27</f>
        <v/>
      </c>
      <c r="V27" t="n">
        <v>0</v>
      </c>
      <c r="W27">
        <f>VLOOKUP(A27,'GST Wise Reco'!$A$4:$T$30,20,0)</f>
        <v/>
      </c>
      <c r="X27" t="inlineStr">
        <is>
          <t>Book And 2B Match-Invocies No Mis-Match</t>
        </is>
      </c>
      <c r="Y27" s="5" t="inlineStr">
        <is>
          <t>Book And 2B Match</t>
        </is>
      </c>
    </row>
    <row r="28">
      <c r="A28" t="inlineStr">
        <is>
          <t>AABCF5150G</t>
        </is>
      </c>
      <c r="B28" t="inlineStr">
        <is>
          <t>AABCF5150G_ADS406-104435085</t>
        </is>
      </c>
      <c r="D28" t="n">
        <v>0</v>
      </c>
      <c r="E28" s="4">
        <f>SUMIF(Book!$G:$G,$B28,Book!J:J)</f>
        <v/>
      </c>
      <c r="F28" s="4">
        <f>SUMIF(Book!$G:$G,$B28,Book!L:L)</f>
        <v/>
      </c>
      <c r="G28" s="4">
        <f>SUMIF(Book!$G:$G,$B28,Book!M:M)</f>
        <v/>
      </c>
      <c r="H28" s="4">
        <f>SUMIF(Book!$G:$G,$B28,Book!N:N)</f>
        <v/>
      </c>
      <c r="I28" s="4">
        <f>SUMIF(Book!$G:$G,$B28,Book!O:O)</f>
        <v/>
      </c>
      <c r="J28" t="n">
        <v>0</v>
      </c>
      <c r="K28" s="4">
        <f>SUMIF('GSTR-2B'!$G:$G,$B28,'GSTR-2B'!J:J)</f>
        <v/>
      </c>
      <c r="L28" s="4">
        <f>SUMIF('GSTR-2B'!$G:$G,$B28,'GSTR-2B'!L:L)</f>
        <v/>
      </c>
      <c r="M28" s="4">
        <f>SUMIF('GSTR-2B'!$G:$G,$B28,'GSTR-2B'!M:M)</f>
        <v/>
      </c>
      <c r="N28" s="4">
        <f>SUMIF('GSTR-2B'!$G:$G,$B28,'GSTR-2B'!N:N)</f>
        <v/>
      </c>
      <c r="O28" s="4">
        <f>SUMIF('GSTR-2B'!$G:$G,$B28,'GSTR-2B'!O:O)</f>
        <v/>
      </c>
      <c r="P28" t="n">
        <v>0</v>
      </c>
      <c r="Q28" s="4">
        <f>+E28-K28</f>
        <v/>
      </c>
      <c r="R28" s="4">
        <f>+F28-L28</f>
        <v/>
      </c>
      <c r="S28" s="4">
        <f>+G28-M28</f>
        <v/>
      </c>
      <c r="T28" s="4">
        <f>+H28-N28</f>
        <v/>
      </c>
      <c r="U28" s="4">
        <f>+I28-O28</f>
        <v/>
      </c>
      <c r="V28" t="n">
        <v>0</v>
      </c>
      <c r="W28">
        <f>VLOOKUP(A28,'GST Wise Reco'!$A$4:$T$30,20,0)</f>
        <v/>
      </c>
      <c r="X28" t="inlineStr">
        <is>
          <t>Book And 2B Match</t>
        </is>
      </c>
      <c r="Y28" s="5" t="inlineStr">
        <is>
          <t>Book And 2B Match</t>
        </is>
      </c>
    </row>
    <row r="29">
      <c r="A29" t="inlineStr">
        <is>
          <t>AABCF5150G</t>
        </is>
      </c>
      <c r="B29" t="inlineStr">
        <is>
          <t>AABCF5150G_ADS406-104438440</t>
        </is>
      </c>
      <c r="D29" t="n">
        <v>0</v>
      </c>
      <c r="E29" s="4">
        <f>SUMIF(Book!$G:$G,$B29,Book!J:J)</f>
        <v/>
      </c>
      <c r="F29" s="4">
        <f>SUMIF(Book!$G:$G,$B29,Book!L:L)</f>
        <v/>
      </c>
      <c r="G29" s="4">
        <f>SUMIF(Book!$G:$G,$B29,Book!M:M)</f>
        <v/>
      </c>
      <c r="H29" s="4">
        <f>SUMIF(Book!$G:$G,$B29,Book!N:N)</f>
        <v/>
      </c>
      <c r="I29" s="4">
        <f>SUMIF(Book!$G:$G,$B29,Book!O:O)</f>
        <v/>
      </c>
      <c r="J29" t="n">
        <v>0</v>
      </c>
      <c r="K29" s="4">
        <f>SUMIF('GSTR-2B'!$G:$G,$B29,'GSTR-2B'!J:J)</f>
        <v/>
      </c>
      <c r="L29" s="4">
        <f>SUMIF('GSTR-2B'!$G:$G,$B29,'GSTR-2B'!L:L)</f>
        <v/>
      </c>
      <c r="M29" s="4">
        <f>SUMIF('GSTR-2B'!$G:$G,$B29,'GSTR-2B'!M:M)</f>
        <v/>
      </c>
      <c r="N29" s="4">
        <f>SUMIF('GSTR-2B'!$G:$G,$B29,'GSTR-2B'!N:N)</f>
        <v/>
      </c>
      <c r="O29" s="4">
        <f>SUMIF('GSTR-2B'!$G:$G,$B29,'GSTR-2B'!O:O)</f>
        <v/>
      </c>
      <c r="P29" t="n">
        <v>0</v>
      </c>
      <c r="Q29" s="4">
        <f>+E29-K29</f>
        <v/>
      </c>
      <c r="R29" s="4">
        <f>+F29-L29</f>
        <v/>
      </c>
      <c r="S29" s="4">
        <f>+G29-M29</f>
        <v/>
      </c>
      <c r="T29" s="4">
        <f>+H29-N29</f>
        <v/>
      </c>
      <c r="U29" s="4">
        <f>+I29-O29</f>
        <v/>
      </c>
      <c r="V29" t="n">
        <v>0</v>
      </c>
      <c r="W29">
        <f>VLOOKUP(A29,'GST Wise Reco'!$A$4:$T$30,20,0)</f>
        <v/>
      </c>
      <c r="X29" t="inlineStr">
        <is>
          <t>Book And 2B Match</t>
        </is>
      </c>
      <c r="Y29" s="5" t="inlineStr">
        <is>
          <t>Book And 2B Match</t>
        </is>
      </c>
    </row>
    <row r="30">
      <c r="A30" t="inlineStr">
        <is>
          <t>AABCF5150G</t>
        </is>
      </c>
      <c r="B30" t="inlineStr">
        <is>
          <t>AABCF5150G_ADS406-104485890</t>
        </is>
      </c>
      <c r="D30" t="n">
        <v>0</v>
      </c>
      <c r="E30" s="4">
        <f>SUMIF(Book!$G:$G,$B30,Book!J:J)</f>
        <v/>
      </c>
      <c r="F30" s="4">
        <f>SUMIF(Book!$G:$G,$B30,Book!L:L)</f>
        <v/>
      </c>
      <c r="G30" s="4">
        <f>SUMIF(Book!$G:$G,$B30,Book!M:M)</f>
        <v/>
      </c>
      <c r="H30" s="4">
        <f>SUMIF(Book!$G:$G,$B30,Book!N:N)</f>
        <v/>
      </c>
      <c r="I30" s="4">
        <f>SUMIF(Book!$G:$G,$B30,Book!O:O)</f>
        <v/>
      </c>
      <c r="J30" t="n">
        <v>0</v>
      </c>
      <c r="K30" s="4">
        <f>SUMIF('GSTR-2B'!$G:$G,$B30,'GSTR-2B'!J:J)</f>
        <v/>
      </c>
      <c r="L30" s="4">
        <f>SUMIF('GSTR-2B'!$G:$G,$B30,'GSTR-2B'!L:L)</f>
        <v/>
      </c>
      <c r="M30" s="4">
        <f>SUMIF('GSTR-2B'!$G:$G,$B30,'GSTR-2B'!M:M)</f>
        <v/>
      </c>
      <c r="N30" s="4">
        <f>SUMIF('GSTR-2B'!$G:$G,$B30,'GSTR-2B'!N:N)</f>
        <v/>
      </c>
      <c r="O30" s="4">
        <f>SUMIF('GSTR-2B'!$G:$G,$B30,'GSTR-2B'!O:O)</f>
        <v/>
      </c>
      <c r="P30" t="n">
        <v>0</v>
      </c>
      <c r="Q30" s="4">
        <f>+E30-K30</f>
        <v/>
      </c>
      <c r="R30" s="4">
        <f>+F30-L30</f>
        <v/>
      </c>
      <c r="S30" s="4">
        <f>+G30-M30</f>
        <v/>
      </c>
      <c r="T30" s="4">
        <f>+H30-N30</f>
        <v/>
      </c>
      <c r="U30" s="4">
        <f>+I30-O30</f>
        <v/>
      </c>
      <c r="V30" t="n">
        <v>0</v>
      </c>
      <c r="W30">
        <f>VLOOKUP(A30,'GST Wise Reco'!$A$4:$T$30,20,0)</f>
        <v/>
      </c>
      <c r="X30" t="inlineStr">
        <is>
          <t>Book And 2B Match</t>
        </is>
      </c>
      <c r="Y30" s="5" t="inlineStr">
        <is>
          <t>Book And 2B Match</t>
        </is>
      </c>
    </row>
    <row r="31">
      <c r="A31" t="inlineStr">
        <is>
          <t>AABCF5150G</t>
        </is>
      </c>
      <c r="B31" t="inlineStr">
        <is>
          <t>AABCF5150G_ADS406-104489154</t>
        </is>
      </c>
      <c r="D31" t="n">
        <v>0</v>
      </c>
      <c r="E31" s="4">
        <f>SUMIF(Book!$G:$G,$B31,Book!J:J)</f>
        <v/>
      </c>
      <c r="F31" s="4">
        <f>SUMIF(Book!$G:$G,$B31,Book!L:L)</f>
        <v/>
      </c>
      <c r="G31" s="4">
        <f>SUMIF(Book!$G:$G,$B31,Book!M:M)</f>
        <v/>
      </c>
      <c r="H31" s="4">
        <f>SUMIF(Book!$G:$G,$B31,Book!N:N)</f>
        <v/>
      </c>
      <c r="I31" s="4">
        <f>SUMIF(Book!$G:$G,$B31,Book!O:O)</f>
        <v/>
      </c>
      <c r="J31" t="n">
        <v>0</v>
      </c>
      <c r="K31" s="4">
        <f>SUMIF('GSTR-2B'!$G:$G,$B31,'GSTR-2B'!J:J)</f>
        <v/>
      </c>
      <c r="L31" s="4">
        <f>SUMIF('GSTR-2B'!$G:$G,$B31,'GSTR-2B'!L:L)</f>
        <v/>
      </c>
      <c r="M31" s="4">
        <f>SUMIF('GSTR-2B'!$G:$G,$B31,'GSTR-2B'!M:M)</f>
        <v/>
      </c>
      <c r="N31" s="4">
        <f>SUMIF('GSTR-2B'!$G:$G,$B31,'GSTR-2B'!N:N)</f>
        <v/>
      </c>
      <c r="O31" s="4">
        <f>SUMIF('GSTR-2B'!$G:$G,$B31,'GSTR-2B'!O:O)</f>
        <v/>
      </c>
      <c r="P31" t="n">
        <v>0</v>
      </c>
      <c r="Q31" s="4">
        <f>+E31-K31</f>
        <v/>
      </c>
      <c r="R31" s="4">
        <f>+F31-L31</f>
        <v/>
      </c>
      <c r="S31" s="4">
        <f>+G31-M31</f>
        <v/>
      </c>
      <c r="T31" s="4">
        <f>+H31-N31</f>
        <v/>
      </c>
      <c r="U31" s="4">
        <f>+I31-O31</f>
        <v/>
      </c>
      <c r="V31" t="n">
        <v>0</v>
      </c>
      <c r="W31">
        <f>VLOOKUP(A31,'GST Wise Reco'!$A$4:$T$30,20,0)</f>
        <v/>
      </c>
      <c r="X31" t="inlineStr">
        <is>
          <t>Book And 2B Match</t>
        </is>
      </c>
      <c r="Y31" s="5" t="inlineStr">
        <is>
          <t>Book And 2B Match</t>
        </is>
      </c>
    </row>
    <row r="32">
      <c r="A32" t="inlineStr">
        <is>
          <t>AABCF5150G</t>
        </is>
      </c>
      <c r="B32" t="inlineStr">
        <is>
          <t>AABCF5150G_ADS406-104513598</t>
        </is>
      </c>
      <c r="D32" t="n">
        <v>0</v>
      </c>
      <c r="E32" s="4">
        <f>SUMIF(Book!$G:$G,$B32,Book!J:J)</f>
        <v/>
      </c>
      <c r="F32" s="4">
        <f>SUMIF(Book!$G:$G,$B32,Book!L:L)</f>
        <v/>
      </c>
      <c r="G32" s="4">
        <f>SUMIF(Book!$G:$G,$B32,Book!M:M)</f>
        <v/>
      </c>
      <c r="H32" s="4">
        <f>SUMIF(Book!$G:$G,$B32,Book!N:N)</f>
        <v/>
      </c>
      <c r="I32" s="4">
        <f>SUMIF(Book!$G:$G,$B32,Book!O:O)</f>
        <v/>
      </c>
      <c r="J32" t="n">
        <v>0</v>
      </c>
      <c r="K32" s="4">
        <f>SUMIF('GSTR-2B'!$G:$G,$B32,'GSTR-2B'!J:J)</f>
        <v/>
      </c>
      <c r="L32" s="4">
        <f>SUMIF('GSTR-2B'!$G:$G,$B32,'GSTR-2B'!L:L)</f>
        <v/>
      </c>
      <c r="M32" s="4">
        <f>SUMIF('GSTR-2B'!$G:$G,$B32,'GSTR-2B'!M:M)</f>
        <v/>
      </c>
      <c r="N32" s="4">
        <f>SUMIF('GSTR-2B'!$G:$G,$B32,'GSTR-2B'!N:N)</f>
        <v/>
      </c>
      <c r="O32" s="4">
        <f>SUMIF('GSTR-2B'!$G:$G,$B32,'GSTR-2B'!O:O)</f>
        <v/>
      </c>
      <c r="P32" t="n">
        <v>0</v>
      </c>
      <c r="Q32" s="4">
        <f>+E32-K32</f>
        <v/>
      </c>
      <c r="R32" s="4">
        <f>+F32-L32</f>
        <v/>
      </c>
      <c r="S32" s="4">
        <f>+G32-M32</f>
        <v/>
      </c>
      <c r="T32" s="4">
        <f>+H32-N32</f>
        <v/>
      </c>
      <c r="U32" s="4">
        <f>+I32-O32</f>
        <v/>
      </c>
      <c r="V32" t="n">
        <v>0</v>
      </c>
      <c r="W32">
        <f>VLOOKUP(A32,'GST Wise Reco'!$A$4:$T$30,20,0)</f>
        <v/>
      </c>
      <c r="X32" t="inlineStr">
        <is>
          <t>Book And 2B Match-Invocies No Mis-Match</t>
        </is>
      </c>
      <c r="Y32" s="5" t="inlineStr">
        <is>
          <t>Book And 2B Match</t>
        </is>
      </c>
    </row>
    <row r="33">
      <c r="A33" t="inlineStr">
        <is>
          <t>AABPV6272G</t>
        </is>
      </c>
      <c r="B33" t="inlineStr">
        <is>
          <t>AABPV6272G_SER/25-26/05/05</t>
        </is>
      </c>
      <c r="D33" t="n">
        <v>0</v>
      </c>
      <c r="E33" s="4">
        <f>SUMIF(Book!$G:$G,$B33,Book!J:J)</f>
        <v/>
      </c>
      <c r="F33" s="4">
        <f>SUMIF(Book!$G:$G,$B33,Book!L:L)</f>
        <v/>
      </c>
      <c r="G33" s="4">
        <f>SUMIF(Book!$G:$G,$B33,Book!M:M)</f>
        <v/>
      </c>
      <c r="H33" s="4">
        <f>SUMIF(Book!$G:$G,$B33,Book!N:N)</f>
        <v/>
      </c>
      <c r="I33" s="4">
        <f>SUMIF(Book!$G:$G,$B33,Book!O:O)</f>
        <v/>
      </c>
      <c r="J33" t="n">
        <v>0</v>
      </c>
      <c r="K33" s="4">
        <f>SUMIF('GSTR-2B'!$G:$G,$B33,'GSTR-2B'!J:J)</f>
        <v/>
      </c>
      <c r="L33" s="4">
        <f>SUMIF('GSTR-2B'!$G:$G,$B33,'GSTR-2B'!L:L)</f>
        <v/>
      </c>
      <c r="M33" s="4">
        <f>SUMIF('GSTR-2B'!$G:$G,$B33,'GSTR-2B'!M:M)</f>
        <v/>
      </c>
      <c r="N33" s="4">
        <f>SUMIF('GSTR-2B'!$G:$G,$B33,'GSTR-2B'!N:N)</f>
        <v/>
      </c>
      <c r="O33" s="4">
        <f>SUMIF('GSTR-2B'!$G:$G,$B33,'GSTR-2B'!O:O)</f>
        <v/>
      </c>
      <c r="P33" t="n">
        <v>0</v>
      </c>
      <c r="Q33" s="4">
        <f>+E33-K33</f>
        <v/>
      </c>
      <c r="R33" s="4">
        <f>+F33-L33</f>
        <v/>
      </c>
      <c r="S33" s="4">
        <f>+G33-M33</f>
        <v/>
      </c>
      <c r="T33" s="4">
        <f>+H33-N33</f>
        <v/>
      </c>
      <c r="U33" s="4">
        <f>+I33-O33</f>
        <v/>
      </c>
      <c r="V33" t="n">
        <v>0</v>
      </c>
      <c r="W33">
        <f>VLOOKUP(A33,'GST Wise Reco'!$A$4:$T$30,20,0)</f>
        <v/>
      </c>
      <c r="X33" t="inlineStr">
        <is>
          <t>Book And 2B Match-Invocies No Mis-Match</t>
        </is>
      </c>
      <c r="Y33" s="5" t="inlineStr">
        <is>
          <t>Book And 2B Match</t>
        </is>
      </c>
    </row>
    <row r="34">
      <c r="A34" t="inlineStr">
        <is>
          <t>AABPV6272G</t>
        </is>
      </c>
      <c r="B34" t="inlineStr">
        <is>
          <t>AABPV6272G_SER/25-26/05/08</t>
        </is>
      </c>
      <c r="D34" t="n">
        <v>0</v>
      </c>
      <c r="E34" s="4">
        <f>SUMIF(Book!$G:$G,$B34,Book!J:J)</f>
        <v/>
      </c>
      <c r="F34" s="4">
        <f>SUMIF(Book!$G:$G,$B34,Book!L:L)</f>
        <v/>
      </c>
      <c r="G34" s="4">
        <f>SUMIF(Book!$G:$G,$B34,Book!M:M)</f>
        <v/>
      </c>
      <c r="H34" s="4">
        <f>SUMIF(Book!$G:$G,$B34,Book!N:N)</f>
        <v/>
      </c>
      <c r="I34" s="4">
        <f>SUMIF(Book!$G:$G,$B34,Book!O:O)</f>
        <v/>
      </c>
      <c r="J34" t="n">
        <v>0</v>
      </c>
      <c r="K34" s="4">
        <f>SUMIF('GSTR-2B'!$G:$G,$B34,'GSTR-2B'!J:J)</f>
        <v/>
      </c>
      <c r="L34" s="4">
        <f>SUMIF('GSTR-2B'!$G:$G,$B34,'GSTR-2B'!L:L)</f>
        <v/>
      </c>
      <c r="M34" s="4">
        <f>SUMIF('GSTR-2B'!$G:$G,$B34,'GSTR-2B'!M:M)</f>
        <v/>
      </c>
      <c r="N34" s="4">
        <f>SUMIF('GSTR-2B'!$G:$G,$B34,'GSTR-2B'!N:N)</f>
        <v/>
      </c>
      <c r="O34" s="4">
        <f>SUMIF('GSTR-2B'!$G:$G,$B34,'GSTR-2B'!O:O)</f>
        <v/>
      </c>
      <c r="P34" t="n">
        <v>0</v>
      </c>
      <c r="Q34" s="4">
        <f>+E34-K34</f>
        <v/>
      </c>
      <c r="R34" s="4">
        <f>+F34-L34</f>
        <v/>
      </c>
      <c r="S34" s="4">
        <f>+G34-M34</f>
        <v/>
      </c>
      <c r="T34" s="4">
        <f>+H34-N34</f>
        <v/>
      </c>
      <c r="U34" s="4">
        <f>+I34-O34</f>
        <v/>
      </c>
      <c r="V34" t="n">
        <v>0</v>
      </c>
      <c r="W34">
        <f>VLOOKUP(A34,'GST Wise Reco'!$A$4:$T$30,20,0)</f>
        <v/>
      </c>
      <c r="X34" t="inlineStr">
        <is>
          <t>Book And 2B Match-Invocies No Mis-Match</t>
        </is>
      </c>
      <c r="Y34" s="5" t="inlineStr">
        <is>
          <t>Book And 2B Match</t>
        </is>
      </c>
    </row>
    <row r="35">
      <c r="A35" t="inlineStr">
        <is>
          <t>AACCL9508M</t>
        </is>
      </c>
      <c r="B35" t="inlineStr">
        <is>
          <t>AACCL9508M_IRG/2526/0028267</t>
        </is>
      </c>
      <c r="D35" t="n">
        <v>0</v>
      </c>
      <c r="E35" s="4">
        <f>SUMIF(Book!$G:$G,$B35,Book!J:J)</f>
        <v/>
      </c>
      <c r="F35" s="4">
        <f>SUMIF(Book!$G:$G,$B35,Book!L:L)</f>
        <v/>
      </c>
      <c r="G35" s="4">
        <f>SUMIF(Book!$G:$G,$B35,Book!M:M)</f>
        <v/>
      </c>
      <c r="H35" s="4">
        <f>SUMIF(Book!$G:$G,$B35,Book!N:N)</f>
        <v/>
      </c>
      <c r="I35" s="4">
        <f>SUMIF(Book!$G:$G,$B35,Book!O:O)</f>
        <v/>
      </c>
      <c r="J35" t="n">
        <v>0</v>
      </c>
      <c r="K35" s="4">
        <f>SUMIF('GSTR-2B'!$G:$G,$B35,'GSTR-2B'!J:J)</f>
        <v/>
      </c>
      <c r="L35" s="4">
        <f>SUMIF('GSTR-2B'!$G:$G,$B35,'GSTR-2B'!L:L)</f>
        <v/>
      </c>
      <c r="M35" s="4">
        <f>SUMIF('GSTR-2B'!$G:$G,$B35,'GSTR-2B'!M:M)</f>
        <v/>
      </c>
      <c r="N35" s="4">
        <f>SUMIF('GSTR-2B'!$G:$G,$B35,'GSTR-2B'!N:N)</f>
        <v/>
      </c>
      <c r="O35" s="4">
        <f>SUMIF('GSTR-2B'!$G:$G,$B35,'GSTR-2B'!O:O)</f>
        <v/>
      </c>
      <c r="P35" t="n">
        <v>0</v>
      </c>
      <c r="Q35" s="4">
        <f>+E35-K35</f>
        <v/>
      </c>
      <c r="R35" s="4">
        <f>+F35-L35</f>
        <v/>
      </c>
      <c r="S35" s="4">
        <f>+G35-M35</f>
        <v/>
      </c>
      <c r="T35" s="4">
        <f>+H35-N35</f>
        <v/>
      </c>
      <c r="U35" s="4">
        <f>+I35-O35</f>
        <v/>
      </c>
      <c r="V35" t="n">
        <v>0</v>
      </c>
      <c r="W35">
        <f>VLOOKUP(A35,'GST Wise Reco'!$A$4:$T$30,20,0)</f>
        <v/>
      </c>
      <c r="X35" t="inlineStr">
        <is>
          <t>Book And 2B Match</t>
        </is>
      </c>
      <c r="Y35" s="5" t="inlineStr">
        <is>
          <t>Book And 2B Match</t>
        </is>
      </c>
    </row>
    <row r="36">
      <c r="A36" t="inlineStr">
        <is>
          <t>AACCO0905F</t>
        </is>
      </c>
      <c r="B36" t="inlineStr">
        <is>
          <t>AACCO0905F_ONEX25-26/01/211</t>
        </is>
      </c>
      <c r="D36" t="n">
        <v>0</v>
      </c>
      <c r="E36" s="4">
        <f>SUMIF(Book!$G:$G,$B36,Book!J:J)</f>
        <v/>
      </c>
      <c r="F36" s="4">
        <f>SUMIF(Book!$G:$G,$B36,Book!L:L)</f>
        <v/>
      </c>
      <c r="G36" s="4">
        <f>SUMIF(Book!$G:$G,$B36,Book!M:M)</f>
        <v/>
      </c>
      <c r="H36" s="4">
        <f>SUMIF(Book!$G:$G,$B36,Book!N:N)</f>
        <v/>
      </c>
      <c r="I36" s="4">
        <f>SUMIF(Book!$G:$G,$B36,Book!O:O)</f>
        <v/>
      </c>
      <c r="J36" t="n">
        <v>0</v>
      </c>
      <c r="K36" s="4">
        <f>SUMIF('GSTR-2B'!$G:$G,$B36,'GSTR-2B'!J:J)</f>
        <v/>
      </c>
      <c r="L36" s="4">
        <f>SUMIF('GSTR-2B'!$G:$G,$B36,'GSTR-2B'!L:L)</f>
        <v/>
      </c>
      <c r="M36" s="4">
        <f>SUMIF('GSTR-2B'!$G:$G,$B36,'GSTR-2B'!M:M)</f>
        <v/>
      </c>
      <c r="N36" s="4">
        <f>SUMIF('GSTR-2B'!$G:$G,$B36,'GSTR-2B'!N:N)</f>
        <v/>
      </c>
      <c r="O36" s="4">
        <f>SUMIF('GSTR-2B'!$G:$G,$B36,'GSTR-2B'!O:O)</f>
        <v/>
      </c>
      <c r="P36" t="n">
        <v>0</v>
      </c>
      <c r="Q36" s="4">
        <f>+E36-K36</f>
        <v/>
      </c>
      <c r="R36" s="4">
        <f>+F36-L36</f>
        <v/>
      </c>
      <c r="S36" s="4">
        <f>+G36-M36</f>
        <v/>
      </c>
      <c r="T36" s="4">
        <f>+H36-N36</f>
        <v/>
      </c>
      <c r="U36" s="4">
        <f>+I36-O36</f>
        <v/>
      </c>
      <c r="V36" t="n">
        <v>0</v>
      </c>
      <c r="W36">
        <f>VLOOKUP(A36,'GST Wise Reco'!$A$4:$T$30,20,0)</f>
        <v/>
      </c>
      <c r="X36" t="inlineStr">
        <is>
          <t>Book And 2B Match</t>
        </is>
      </c>
      <c r="Y36" s="5" t="inlineStr">
        <is>
          <t>Book And 2B Match</t>
        </is>
      </c>
    </row>
    <row r="37">
      <c r="A37" t="inlineStr">
        <is>
          <t>AACCO0905F</t>
        </is>
      </c>
      <c r="B37" t="inlineStr">
        <is>
          <t>AACCO0905F_ONEX25-26/02/236</t>
        </is>
      </c>
      <c r="D37" t="n">
        <v>0</v>
      </c>
      <c r="E37" s="4">
        <f>SUMIF(Book!$G:$G,$B37,Book!J:J)</f>
        <v/>
      </c>
      <c r="F37" s="4">
        <f>SUMIF(Book!$G:$G,$B37,Book!L:L)</f>
        <v/>
      </c>
      <c r="G37" s="4">
        <f>SUMIF(Book!$G:$G,$B37,Book!M:M)</f>
        <v/>
      </c>
      <c r="H37" s="4">
        <f>SUMIF(Book!$G:$G,$B37,Book!N:N)</f>
        <v/>
      </c>
      <c r="I37" s="4">
        <f>SUMIF(Book!$G:$G,$B37,Book!O:O)</f>
        <v/>
      </c>
      <c r="J37" t="n">
        <v>0</v>
      </c>
      <c r="K37" s="4">
        <f>SUMIF('GSTR-2B'!$G:$G,$B37,'GSTR-2B'!J:J)</f>
        <v/>
      </c>
      <c r="L37" s="4">
        <f>SUMIF('GSTR-2B'!$G:$G,$B37,'GSTR-2B'!L:L)</f>
        <v/>
      </c>
      <c r="M37" s="4">
        <f>SUMIF('GSTR-2B'!$G:$G,$B37,'GSTR-2B'!M:M)</f>
        <v/>
      </c>
      <c r="N37" s="4">
        <f>SUMIF('GSTR-2B'!$G:$G,$B37,'GSTR-2B'!N:N)</f>
        <v/>
      </c>
      <c r="O37" s="4">
        <f>SUMIF('GSTR-2B'!$G:$G,$B37,'GSTR-2B'!O:O)</f>
        <v/>
      </c>
      <c r="P37" t="n">
        <v>0</v>
      </c>
      <c r="Q37" s="4">
        <f>+E37-K37</f>
        <v/>
      </c>
      <c r="R37" s="4">
        <f>+F37-L37</f>
        <v/>
      </c>
      <c r="S37" s="4">
        <f>+G37-M37</f>
        <v/>
      </c>
      <c r="T37" s="4">
        <f>+H37-N37</f>
        <v/>
      </c>
      <c r="U37" s="4">
        <f>+I37-O37</f>
        <v/>
      </c>
      <c r="V37" t="n">
        <v>0</v>
      </c>
      <c r="W37">
        <f>VLOOKUP(A37,'GST Wise Reco'!$A$4:$T$30,20,0)</f>
        <v/>
      </c>
      <c r="X37" t="inlineStr">
        <is>
          <t>Book And 2B Match</t>
        </is>
      </c>
      <c r="Y37" s="5" t="inlineStr">
        <is>
          <t>Book And 2B Match</t>
        </is>
      </c>
    </row>
    <row r="38">
      <c r="A38" t="inlineStr">
        <is>
          <t>AACCO0905F</t>
        </is>
      </c>
      <c r="B38" t="inlineStr">
        <is>
          <t>AACCO0905F_ONEX25-26/03/246</t>
        </is>
      </c>
      <c r="D38" t="n">
        <v>0</v>
      </c>
      <c r="E38" s="4">
        <f>SUMIF(Book!$G:$G,$B38,Book!J:J)</f>
        <v/>
      </c>
      <c r="F38" s="4">
        <f>SUMIF(Book!$G:$G,$B38,Book!L:L)</f>
        <v/>
      </c>
      <c r="G38" s="4">
        <f>SUMIF(Book!$G:$G,$B38,Book!M:M)</f>
        <v/>
      </c>
      <c r="H38" s="4">
        <f>SUMIF(Book!$G:$G,$B38,Book!N:N)</f>
        <v/>
      </c>
      <c r="I38" s="4">
        <f>SUMIF(Book!$G:$G,$B38,Book!O:O)</f>
        <v/>
      </c>
      <c r="J38" t="n">
        <v>0</v>
      </c>
      <c r="K38" s="4">
        <f>SUMIF('GSTR-2B'!$G:$G,$B38,'GSTR-2B'!J:J)</f>
        <v/>
      </c>
      <c r="L38" s="4">
        <f>SUMIF('GSTR-2B'!$G:$G,$B38,'GSTR-2B'!L:L)</f>
        <v/>
      </c>
      <c r="M38" s="4">
        <f>SUMIF('GSTR-2B'!$G:$G,$B38,'GSTR-2B'!M:M)</f>
        <v/>
      </c>
      <c r="N38" s="4">
        <f>SUMIF('GSTR-2B'!$G:$G,$B38,'GSTR-2B'!N:N)</f>
        <v/>
      </c>
      <c r="O38" s="4">
        <f>SUMIF('GSTR-2B'!$G:$G,$B38,'GSTR-2B'!O:O)</f>
        <v/>
      </c>
      <c r="P38" t="n">
        <v>0</v>
      </c>
      <c r="Q38" s="4">
        <f>+E38-K38</f>
        <v/>
      </c>
      <c r="R38" s="4">
        <f>+F38-L38</f>
        <v/>
      </c>
      <c r="S38" s="4">
        <f>+G38-M38</f>
        <v/>
      </c>
      <c r="T38" s="4">
        <f>+H38-N38</f>
        <v/>
      </c>
      <c r="U38" s="4">
        <f>+I38-O38</f>
        <v/>
      </c>
      <c r="V38" t="n">
        <v>0</v>
      </c>
      <c r="W38">
        <f>VLOOKUP(A38,'GST Wise Reco'!$A$4:$T$30,20,0)</f>
        <v/>
      </c>
      <c r="X38" t="inlineStr">
        <is>
          <t>Book And 2B Match</t>
        </is>
      </c>
      <c r="Y38" s="5" t="inlineStr">
        <is>
          <t>Book And 2B Match</t>
        </is>
      </c>
    </row>
    <row r="39">
      <c r="A39" t="inlineStr">
        <is>
          <t>AACCO0905F</t>
        </is>
      </c>
      <c r="B39" t="inlineStr">
        <is>
          <t>AACCO0905F_ONEX25-26/03/369</t>
        </is>
      </c>
      <c r="D39" t="n">
        <v>0</v>
      </c>
      <c r="E39" s="4">
        <f>SUMIF(Book!$G:$G,$B39,Book!J:J)</f>
        <v/>
      </c>
      <c r="F39" s="4">
        <f>SUMIF(Book!$G:$G,$B39,Book!L:L)</f>
        <v/>
      </c>
      <c r="G39" s="4">
        <f>SUMIF(Book!$G:$G,$B39,Book!M:M)</f>
        <v/>
      </c>
      <c r="H39" s="4">
        <f>SUMIF(Book!$G:$G,$B39,Book!N:N)</f>
        <v/>
      </c>
      <c r="I39" s="4">
        <f>SUMIF(Book!$G:$G,$B39,Book!O:O)</f>
        <v/>
      </c>
      <c r="J39" t="n">
        <v>0</v>
      </c>
      <c r="K39" s="4">
        <f>SUMIF('GSTR-2B'!$G:$G,$B39,'GSTR-2B'!J:J)</f>
        <v/>
      </c>
      <c r="L39" s="4">
        <f>SUMIF('GSTR-2B'!$G:$G,$B39,'GSTR-2B'!L:L)</f>
        <v/>
      </c>
      <c r="M39" s="4">
        <f>SUMIF('GSTR-2B'!$G:$G,$B39,'GSTR-2B'!M:M)</f>
        <v/>
      </c>
      <c r="N39" s="4">
        <f>SUMIF('GSTR-2B'!$G:$G,$B39,'GSTR-2B'!N:N)</f>
        <v/>
      </c>
      <c r="O39" s="4">
        <f>SUMIF('GSTR-2B'!$G:$G,$B39,'GSTR-2B'!O:O)</f>
        <v/>
      </c>
      <c r="P39" t="n">
        <v>0</v>
      </c>
      <c r="Q39" s="4">
        <f>+E39-K39</f>
        <v/>
      </c>
      <c r="R39" s="4">
        <f>+F39-L39</f>
        <v/>
      </c>
      <c r="S39" s="4">
        <f>+G39-M39</f>
        <v/>
      </c>
      <c r="T39" s="4">
        <f>+H39-N39</f>
        <v/>
      </c>
      <c r="U39" s="4">
        <f>+I39-O39</f>
        <v/>
      </c>
      <c r="V39" t="n">
        <v>0</v>
      </c>
      <c r="W39">
        <f>VLOOKUP(A39,'GST Wise Reco'!$A$4:$T$30,20,0)</f>
        <v/>
      </c>
      <c r="X39" t="inlineStr">
        <is>
          <t>Book And 2B Match</t>
        </is>
      </c>
      <c r="Y39" s="5" t="inlineStr">
        <is>
          <t>Book And 2B Match</t>
        </is>
      </c>
    </row>
    <row r="40">
      <c r="A40" t="inlineStr">
        <is>
          <t>AACCO0905F</t>
        </is>
      </c>
      <c r="B40" t="inlineStr">
        <is>
          <t>AACCO0905F_ONEX25-26/12/142</t>
        </is>
      </c>
      <c r="D40" t="n">
        <v>0</v>
      </c>
      <c r="E40" s="4">
        <f>SUMIF(Book!$G:$G,$B40,Book!J:J)</f>
        <v/>
      </c>
      <c r="F40" s="4">
        <f>SUMIF(Book!$G:$G,$B40,Book!L:L)</f>
        <v/>
      </c>
      <c r="G40" s="4">
        <f>SUMIF(Book!$G:$G,$B40,Book!M:M)</f>
        <v/>
      </c>
      <c r="H40" s="4">
        <f>SUMIF(Book!$G:$G,$B40,Book!N:N)</f>
        <v/>
      </c>
      <c r="I40" s="4">
        <f>SUMIF(Book!$G:$G,$B40,Book!O:O)</f>
        <v/>
      </c>
      <c r="J40" t="n">
        <v>0</v>
      </c>
      <c r="K40" s="4">
        <f>SUMIF('GSTR-2B'!$G:$G,$B40,'GSTR-2B'!J:J)</f>
        <v/>
      </c>
      <c r="L40" s="4">
        <f>SUMIF('GSTR-2B'!$G:$G,$B40,'GSTR-2B'!L:L)</f>
        <v/>
      </c>
      <c r="M40" s="4">
        <f>SUMIF('GSTR-2B'!$G:$G,$B40,'GSTR-2B'!M:M)</f>
        <v/>
      </c>
      <c r="N40" s="4">
        <f>SUMIF('GSTR-2B'!$G:$G,$B40,'GSTR-2B'!N:N)</f>
        <v/>
      </c>
      <c r="O40" s="4">
        <f>SUMIF('GSTR-2B'!$G:$G,$B40,'GSTR-2B'!O:O)</f>
        <v/>
      </c>
      <c r="P40" t="n">
        <v>0</v>
      </c>
      <c r="Q40" s="4">
        <f>+E40-K40</f>
        <v/>
      </c>
      <c r="R40" s="4">
        <f>+F40-L40</f>
        <v/>
      </c>
      <c r="S40" s="4">
        <f>+G40-M40</f>
        <v/>
      </c>
      <c r="T40" s="4">
        <f>+H40-N40</f>
        <v/>
      </c>
      <c r="U40" s="4">
        <f>+I40-O40</f>
        <v/>
      </c>
      <c r="V40" t="n">
        <v>0</v>
      </c>
      <c r="W40">
        <f>VLOOKUP(A40,'GST Wise Reco'!$A$4:$T$30,20,0)</f>
        <v/>
      </c>
      <c r="X40" t="inlineStr">
        <is>
          <t>Book And 2B Match</t>
        </is>
      </c>
      <c r="Y40" s="5" t="inlineStr">
        <is>
          <t>Book And 2B Match</t>
        </is>
      </c>
    </row>
    <row r="41">
      <c r="A41" t="inlineStr">
        <is>
          <t>AACCR7740M</t>
        </is>
      </c>
      <c r="B41" t="inlineStr">
        <is>
          <t>AACCR7740M_RM/04-25/PP0480</t>
        </is>
      </c>
      <c r="D41" t="n">
        <v>0</v>
      </c>
      <c r="E41" s="4">
        <f>SUMIF(Book!$G:$G,$B41,Book!J:J)</f>
        <v/>
      </c>
      <c r="F41" s="4">
        <f>SUMIF(Book!$G:$G,$B41,Book!L:L)</f>
        <v/>
      </c>
      <c r="G41" s="4">
        <f>SUMIF(Book!$G:$G,$B41,Book!M:M)</f>
        <v/>
      </c>
      <c r="H41" s="4">
        <f>SUMIF(Book!$G:$G,$B41,Book!N:N)</f>
        <v/>
      </c>
      <c r="I41" s="4">
        <f>SUMIF(Book!$G:$G,$B41,Book!O:O)</f>
        <v/>
      </c>
      <c r="J41" t="n">
        <v>0</v>
      </c>
      <c r="K41" s="4">
        <f>SUMIF('GSTR-2B'!$G:$G,$B41,'GSTR-2B'!J:J)</f>
        <v/>
      </c>
      <c r="L41" s="4">
        <f>SUMIF('GSTR-2B'!$G:$G,$B41,'GSTR-2B'!L:L)</f>
        <v/>
      </c>
      <c r="M41" s="4">
        <f>SUMIF('GSTR-2B'!$G:$G,$B41,'GSTR-2B'!M:M)</f>
        <v/>
      </c>
      <c r="N41" s="4">
        <f>SUMIF('GSTR-2B'!$G:$G,$B41,'GSTR-2B'!N:N)</f>
        <v/>
      </c>
      <c r="O41" s="4">
        <f>SUMIF('GSTR-2B'!$G:$G,$B41,'GSTR-2B'!O:O)</f>
        <v/>
      </c>
      <c r="P41" t="n">
        <v>0</v>
      </c>
      <c r="Q41" s="4">
        <f>+E41-K41</f>
        <v/>
      </c>
      <c r="R41" s="4">
        <f>+F41-L41</f>
        <v/>
      </c>
      <c r="S41" s="4">
        <f>+G41-M41</f>
        <v/>
      </c>
      <c r="T41" s="4">
        <f>+H41-N41</f>
        <v/>
      </c>
      <c r="U41" s="4">
        <f>+I41-O41</f>
        <v/>
      </c>
      <c r="V41" t="n">
        <v>0</v>
      </c>
      <c r="W41">
        <f>VLOOKUP(A41,'GST Wise Reco'!$A$4:$T$30,20,0)</f>
        <v/>
      </c>
      <c r="X41" t="inlineStr">
        <is>
          <t>Book And 2B Match</t>
        </is>
      </c>
      <c r="Y41" s="5" t="inlineStr">
        <is>
          <t>Book And 2B Match</t>
        </is>
      </c>
    </row>
    <row r="42">
      <c r="A42" t="inlineStr">
        <is>
          <t>AACCR7740M</t>
        </is>
      </c>
      <c r="B42" t="inlineStr">
        <is>
          <t>AACCR7740M_RM/05-25/PP0466</t>
        </is>
      </c>
      <c r="D42" t="n">
        <v>0</v>
      </c>
      <c r="E42" s="4">
        <f>SUMIF(Book!$G:$G,$B42,Book!J:J)</f>
        <v/>
      </c>
      <c r="F42" s="4">
        <f>SUMIF(Book!$G:$G,$B42,Book!L:L)</f>
        <v/>
      </c>
      <c r="G42" s="4">
        <f>SUMIF(Book!$G:$G,$B42,Book!M:M)</f>
        <v/>
      </c>
      <c r="H42" s="4">
        <f>SUMIF(Book!$G:$G,$B42,Book!N:N)</f>
        <v/>
      </c>
      <c r="I42" s="4">
        <f>SUMIF(Book!$G:$G,$B42,Book!O:O)</f>
        <v/>
      </c>
      <c r="J42" t="n">
        <v>0</v>
      </c>
      <c r="K42" s="4">
        <f>SUMIF('GSTR-2B'!$G:$G,$B42,'GSTR-2B'!J:J)</f>
        <v/>
      </c>
      <c r="L42" s="4">
        <f>SUMIF('GSTR-2B'!$G:$G,$B42,'GSTR-2B'!L:L)</f>
        <v/>
      </c>
      <c r="M42" s="4">
        <f>SUMIF('GSTR-2B'!$G:$G,$B42,'GSTR-2B'!M:M)</f>
        <v/>
      </c>
      <c r="N42" s="4">
        <f>SUMIF('GSTR-2B'!$G:$G,$B42,'GSTR-2B'!N:N)</f>
        <v/>
      </c>
      <c r="O42" s="4">
        <f>SUMIF('GSTR-2B'!$G:$G,$B42,'GSTR-2B'!O:O)</f>
        <v/>
      </c>
      <c r="P42" t="n">
        <v>0</v>
      </c>
      <c r="Q42" s="4">
        <f>+E42-K42</f>
        <v/>
      </c>
      <c r="R42" s="4">
        <f>+F42-L42</f>
        <v/>
      </c>
      <c r="S42" s="4">
        <f>+G42-M42</f>
        <v/>
      </c>
      <c r="T42" s="4">
        <f>+H42-N42</f>
        <v/>
      </c>
      <c r="U42" s="4">
        <f>+I42-O42</f>
        <v/>
      </c>
      <c r="V42" t="n">
        <v>0</v>
      </c>
      <c r="W42">
        <f>VLOOKUP(A42,'GST Wise Reco'!$A$4:$T$30,20,0)</f>
        <v/>
      </c>
      <c r="X42" t="inlineStr">
        <is>
          <t>Book And 2B Match</t>
        </is>
      </c>
      <c r="Y42" s="5" t="inlineStr">
        <is>
          <t>Book And 2B Match</t>
        </is>
      </c>
    </row>
    <row r="43">
      <c r="A43" t="inlineStr">
        <is>
          <t>AACCR7740M</t>
        </is>
      </c>
      <c r="B43" t="inlineStr">
        <is>
          <t>AACCR7740M_RM/07-25/PP0540</t>
        </is>
      </c>
      <c r="D43" t="n">
        <v>0</v>
      </c>
      <c r="E43" s="4">
        <f>SUMIF(Book!$G:$G,$B43,Book!J:J)</f>
        <v/>
      </c>
      <c r="F43" s="4">
        <f>SUMIF(Book!$G:$G,$B43,Book!L:L)</f>
        <v/>
      </c>
      <c r="G43" s="4">
        <f>SUMIF(Book!$G:$G,$B43,Book!M:M)</f>
        <v/>
      </c>
      <c r="H43" s="4">
        <f>SUMIF(Book!$G:$G,$B43,Book!N:N)</f>
        <v/>
      </c>
      <c r="I43" s="4">
        <f>SUMIF(Book!$G:$G,$B43,Book!O:O)</f>
        <v/>
      </c>
      <c r="J43" t="n">
        <v>0</v>
      </c>
      <c r="K43" s="4">
        <f>SUMIF('GSTR-2B'!$G:$G,$B43,'GSTR-2B'!J:J)</f>
        <v/>
      </c>
      <c r="L43" s="4">
        <f>SUMIF('GSTR-2B'!$G:$G,$B43,'GSTR-2B'!L:L)</f>
        <v/>
      </c>
      <c r="M43" s="4">
        <f>SUMIF('GSTR-2B'!$G:$G,$B43,'GSTR-2B'!M:M)</f>
        <v/>
      </c>
      <c r="N43" s="4">
        <f>SUMIF('GSTR-2B'!$G:$G,$B43,'GSTR-2B'!N:N)</f>
        <v/>
      </c>
      <c r="O43" s="4">
        <f>SUMIF('GSTR-2B'!$G:$G,$B43,'GSTR-2B'!O:O)</f>
        <v/>
      </c>
      <c r="P43" t="n">
        <v>0</v>
      </c>
      <c r="Q43" s="4">
        <f>+E43-K43</f>
        <v/>
      </c>
      <c r="R43" s="4">
        <f>+F43-L43</f>
        <v/>
      </c>
      <c r="S43" s="4">
        <f>+G43-M43</f>
        <v/>
      </c>
      <c r="T43" s="4">
        <f>+H43-N43</f>
        <v/>
      </c>
      <c r="U43" s="4">
        <f>+I43-O43</f>
        <v/>
      </c>
      <c r="V43" t="n">
        <v>0</v>
      </c>
      <c r="W43">
        <f>VLOOKUP(A43,'GST Wise Reco'!$A$4:$T$30,20,0)</f>
        <v/>
      </c>
      <c r="X43" t="inlineStr">
        <is>
          <t>Book And 2B Match</t>
        </is>
      </c>
      <c r="Y43" s="5" t="inlineStr">
        <is>
          <t>Book And 2B Match</t>
        </is>
      </c>
    </row>
    <row r="44">
      <c r="A44" t="inlineStr">
        <is>
          <t>AACCR7740M</t>
        </is>
      </c>
      <c r="B44" t="inlineStr">
        <is>
          <t>AACCR7740M_RM/08-25/PP0517</t>
        </is>
      </c>
      <c r="D44" t="n">
        <v>0</v>
      </c>
      <c r="E44" s="4">
        <f>SUMIF(Book!$G:$G,$B44,Book!J:J)</f>
        <v/>
      </c>
      <c r="F44" s="4">
        <f>SUMIF(Book!$G:$G,$B44,Book!L:L)</f>
        <v/>
      </c>
      <c r="G44" s="4">
        <f>SUMIF(Book!$G:$G,$B44,Book!M:M)</f>
        <v/>
      </c>
      <c r="H44" s="4">
        <f>SUMIF(Book!$G:$G,$B44,Book!N:N)</f>
        <v/>
      </c>
      <c r="I44" s="4">
        <f>SUMIF(Book!$G:$G,$B44,Book!O:O)</f>
        <v/>
      </c>
      <c r="J44" t="n">
        <v>0</v>
      </c>
      <c r="K44" s="4">
        <f>SUMIF('GSTR-2B'!$G:$G,$B44,'GSTR-2B'!J:J)</f>
        <v/>
      </c>
      <c r="L44" s="4">
        <f>SUMIF('GSTR-2B'!$G:$G,$B44,'GSTR-2B'!L:L)</f>
        <v/>
      </c>
      <c r="M44" s="4">
        <f>SUMIF('GSTR-2B'!$G:$G,$B44,'GSTR-2B'!M:M)</f>
        <v/>
      </c>
      <c r="N44" s="4">
        <f>SUMIF('GSTR-2B'!$G:$G,$B44,'GSTR-2B'!N:N)</f>
        <v/>
      </c>
      <c r="O44" s="4">
        <f>SUMIF('GSTR-2B'!$G:$G,$B44,'GSTR-2B'!O:O)</f>
        <v/>
      </c>
      <c r="P44" t="n">
        <v>0</v>
      </c>
      <c r="Q44" s="4">
        <f>+E44-K44</f>
        <v/>
      </c>
      <c r="R44" s="4">
        <f>+F44-L44</f>
        <v/>
      </c>
      <c r="S44" s="4">
        <f>+G44-M44</f>
        <v/>
      </c>
      <c r="T44" s="4">
        <f>+H44-N44</f>
        <v/>
      </c>
      <c r="U44" s="4">
        <f>+I44-O44</f>
        <v/>
      </c>
      <c r="V44" t="n">
        <v>0</v>
      </c>
      <c r="W44">
        <f>VLOOKUP(A44,'GST Wise Reco'!$A$4:$T$30,20,0)</f>
        <v/>
      </c>
      <c r="X44" t="inlineStr">
        <is>
          <t>Book And 2B Match</t>
        </is>
      </c>
      <c r="Y44" s="5" t="inlineStr">
        <is>
          <t>Book And 2B Match</t>
        </is>
      </c>
    </row>
    <row r="45">
      <c r="A45" t="inlineStr">
        <is>
          <t>AACCR7740M</t>
        </is>
      </c>
      <c r="B45" t="inlineStr">
        <is>
          <t>AACCR7740M_RM/09-25/PP0595</t>
        </is>
      </c>
      <c r="D45" t="n">
        <v>0</v>
      </c>
      <c r="E45" s="4">
        <f>SUMIF(Book!$G:$G,$B45,Book!J:J)</f>
        <v/>
      </c>
      <c r="F45" s="4">
        <f>SUMIF(Book!$G:$G,$B45,Book!L:L)</f>
        <v/>
      </c>
      <c r="G45" s="4">
        <f>SUMIF(Book!$G:$G,$B45,Book!M:M)</f>
        <v/>
      </c>
      <c r="H45" s="4">
        <f>SUMIF(Book!$G:$G,$B45,Book!N:N)</f>
        <v/>
      </c>
      <c r="I45" s="4">
        <f>SUMIF(Book!$G:$G,$B45,Book!O:O)</f>
        <v/>
      </c>
      <c r="J45" t="n">
        <v>0</v>
      </c>
      <c r="K45" s="4">
        <f>SUMIF('GSTR-2B'!$G:$G,$B45,'GSTR-2B'!J:J)</f>
        <v/>
      </c>
      <c r="L45" s="4">
        <f>SUMIF('GSTR-2B'!$G:$G,$B45,'GSTR-2B'!L:L)</f>
        <v/>
      </c>
      <c r="M45" s="4">
        <f>SUMIF('GSTR-2B'!$G:$G,$B45,'GSTR-2B'!M:M)</f>
        <v/>
      </c>
      <c r="N45" s="4">
        <f>SUMIF('GSTR-2B'!$G:$G,$B45,'GSTR-2B'!N:N)</f>
        <v/>
      </c>
      <c r="O45" s="4">
        <f>SUMIF('GSTR-2B'!$G:$G,$B45,'GSTR-2B'!O:O)</f>
        <v/>
      </c>
      <c r="P45" t="n">
        <v>0</v>
      </c>
      <c r="Q45" s="4">
        <f>+E45-K45</f>
        <v/>
      </c>
      <c r="R45" s="4">
        <f>+F45-L45</f>
        <v/>
      </c>
      <c r="S45" s="4">
        <f>+G45-M45</f>
        <v/>
      </c>
      <c r="T45" s="4">
        <f>+H45-N45</f>
        <v/>
      </c>
      <c r="U45" s="4">
        <f>+I45-O45</f>
        <v/>
      </c>
      <c r="V45" t="n">
        <v>0</v>
      </c>
      <c r="W45">
        <f>VLOOKUP(A45,'GST Wise Reco'!$A$4:$T$30,20,0)</f>
        <v/>
      </c>
      <c r="X45" t="inlineStr">
        <is>
          <t>Book And 2B Match</t>
        </is>
      </c>
      <c r="Y45" s="5" t="inlineStr">
        <is>
          <t>Book And 2B Match</t>
        </is>
      </c>
    </row>
    <row r="46">
      <c r="A46" t="inlineStr">
        <is>
          <t>AACCR7740M</t>
        </is>
      </c>
      <c r="B46" t="inlineStr">
        <is>
          <t>AACCR7740M_RM/11-25/PP0360</t>
        </is>
      </c>
      <c r="D46" t="n">
        <v>0</v>
      </c>
      <c r="E46" s="4">
        <f>SUMIF(Book!$G:$G,$B46,Book!J:J)</f>
        <v/>
      </c>
      <c r="F46" s="4">
        <f>SUMIF(Book!$G:$G,$B46,Book!L:L)</f>
        <v/>
      </c>
      <c r="G46" s="4">
        <f>SUMIF(Book!$G:$G,$B46,Book!M:M)</f>
        <v/>
      </c>
      <c r="H46" s="4">
        <f>SUMIF(Book!$G:$G,$B46,Book!N:N)</f>
        <v/>
      </c>
      <c r="I46" s="4">
        <f>SUMIF(Book!$G:$G,$B46,Book!O:O)</f>
        <v/>
      </c>
      <c r="J46" t="n">
        <v>0</v>
      </c>
      <c r="K46" s="4">
        <f>SUMIF('GSTR-2B'!$G:$G,$B46,'GSTR-2B'!J:J)</f>
        <v/>
      </c>
      <c r="L46" s="4">
        <f>SUMIF('GSTR-2B'!$G:$G,$B46,'GSTR-2B'!L:L)</f>
        <v/>
      </c>
      <c r="M46" s="4">
        <f>SUMIF('GSTR-2B'!$G:$G,$B46,'GSTR-2B'!M:M)</f>
        <v/>
      </c>
      <c r="N46" s="4">
        <f>SUMIF('GSTR-2B'!$G:$G,$B46,'GSTR-2B'!N:N)</f>
        <v/>
      </c>
      <c r="O46" s="4">
        <f>SUMIF('GSTR-2B'!$G:$G,$B46,'GSTR-2B'!O:O)</f>
        <v/>
      </c>
      <c r="P46" t="n">
        <v>0</v>
      </c>
      <c r="Q46" s="4">
        <f>+E46-K46</f>
        <v/>
      </c>
      <c r="R46" s="4">
        <f>+F46-L46</f>
        <v/>
      </c>
      <c r="S46" s="4">
        <f>+G46-M46</f>
        <v/>
      </c>
      <c r="T46" s="4">
        <f>+H46-N46</f>
        <v/>
      </c>
      <c r="U46" s="4">
        <f>+I46-O46</f>
        <v/>
      </c>
      <c r="V46" t="n">
        <v>0</v>
      </c>
      <c r="W46">
        <f>VLOOKUP(A46,'GST Wise Reco'!$A$4:$T$30,20,0)</f>
        <v/>
      </c>
      <c r="X46" t="inlineStr">
        <is>
          <t>Book And 2B Match</t>
        </is>
      </c>
      <c r="Y46" s="5" t="inlineStr">
        <is>
          <t>Book And 2B Match</t>
        </is>
      </c>
    </row>
    <row r="47">
      <c r="A47" t="inlineStr">
        <is>
          <t>AADCD9460D</t>
        </is>
      </c>
      <c r="B47" t="inlineStr">
        <is>
          <t>AADCD9460D_25-26/1/366</t>
        </is>
      </c>
      <c r="D47" t="n">
        <v>0</v>
      </c>
      <c r="E47" s="4">
        <f>SUMIF(Book!$G:$G,$B47,Book!J:J)</f>
        <v/>
      </c>
      <c r="F47" s="4">
        <f>SUMIF(Book!$G:$G,$B47,Book!L:L)</f>
        <v/>
      </c>
      <c r="G47" s="4">
        <f>SUMIF(Book!$G:$G,$B47,Book!M:M)</f>
        <v/>
      </c>
      <c r="H47" s="4">
        <f>SUMIF(Book!$G:$G,$B47,Book!N:N)</f>
        <v/>
      </c>
      <c r="I47" s="4">
        <f>SUMIF(Book!$G:$G,$B47,Book!O:O)</f>
        <v/>
      </c>
      <c r="J47" t="n">
        <v>0</v>
      </c>
      <c r="K47" s="4">
        <f>SUMIF('GSTR-2B'!$G:$G,$B47,'GSTR-2B'!J:J)</f>
        <v/>
      </c>
      <c r="L47" s="4">
        <f>SUMIF('GSTR-2B'!$G:$G,$B47,'GSTR-2B'!L:L)</f>
        <v/>
      </c>
      <c r="M47" s="4">
        <f>SUMIF('GSTR-2B'!$G:$G,$B47,'GSTR-2B'!M:M)</f>
        <v/>
      </c>
      <c r="N47" s="4">
        <f>SUMIF('GSTR-2B'!$G:$G,$B47,'GSTR-2B'!N:N)</f>
        <v/>
      </c>
      <c r="O47" s="4">
        <f>SUMIF('GSTR-2B'!$G:$G,$B47,'GSTR-2B'!O:O)</f>
        <v/>
      </c>
      <c r="P47" t="n">
        <v>0</v>
      </c>
      <c r="Q47" s="4">
        <f>+E47-K47</f>
        <v/>
      </c>
      <c r="R47" s="4">
        <f>+F47-L47</f>
        <v/>
      </c>
      <c r="S47" s="4">
        <f>+G47-M47</f>
        <v/>
      </c>
      <c r="T47" s="4">
        <f>+H47-N47</f>
        <v/>
      </c>
      <c r="U47" s="4">
        <f>+I47-O47</f>
        <v/>
      </c>
      <c r="V47" t="n">
        <v>0</v>
      </c>
      <c r="W47">
        <f>VLOOKUP(A47,'GST Wise Reco'!$A$4:$T$30,20,0)</f>
        <v/>
      </c>
      <c r="X47" t="inlineStr">
        <is>
          <t>Book And 2B Match</t>
        </is>
      </c>
      <c r="Y47" s="5" t="inlineStr">
        <is>
          <t>Book And 2B Match</t>
        </is>
      </c>
    </row>
    <row r="48">
      <c r="A48" t="inlineStr">
        <is>
          <t>AADCD9460D</t>
        </is>
      </c>
      <c r="B48" t="inlineStr">
        <is>
          <t>AADCD9460D_25-26/10/217</t>
        </is>
      </c>
      <c r="D48" t="n">
        <v>0</v>
      </c>
      <c r="E48" s="4">
        <f>SUMIF(Book!$G:$G,$B48,Book!J:J)</f>
        <v/>
      </c>
      <c r="F48" s="4">
        <f>SUMIF(Book!$G:$G,$B48,Book!L:L)</f>
        <v/>
      </c>
      <c r="G48" s="4">
        <f>SUMIF(Book!$G:$G,$B48,Book!M:M)</f>
        <v/>
      </c>
      <c r="H48" s="4">
        <f>SUMIF(Book!$G:$G,$B48,Book!N:N)</f>
        <v/>
      </c>
      <c r="I48" s="4">
        <f>SUMIF(Book!$G:$G,$B48,Book!O:O)</f>
        <v/>
      </c>
      <c r="J48" t="n">
        <v>0</v>
      </c>
      <c r="K48" s="4">
        <f>SUMIF('GSTR-2B'!$G:$G,$B48,'GSTR-2B'!J:J)</f>
        <v/>
      </c>
      <c r="L48" s="4">
        <f>SUMIF('GSTR-2B'!$G:$G,$B48,'GSTR-2B'!L:L)</f>
        <v/>
      </c>
      <c r="M48" s="4">
        <f>SUMIF('GSTR-2B'!$G:$G,$B48,'GSTR-2B'!M:M)</f>
        <v/>
      </c>
      <c r="N48" s="4">
        <f>SUMIF('GSTR-2B'!$G:$G,$B48,'GSTR-2B'!N:N)</f>
        <v/>
      </c>
      <c r="O48" s="4">
        <f>SUMIF('GSTR-2B'!$G:$G,$B48,'GSTR-2B'!O:O)</f>
        <v/>
      </c>
      <c r="P48" t="n">
        <v>0</v>
      </c>
      <c r="Q48" s="4">
        <f>+E48-K48</f>
        <v/>
      </c>
      <c r="R48" s="4">
        <f>+F48-L48</f>
        <v/>
      </c>
      <c r="S48" s="4">
        <f>+G48-M48</f>
        <v/>
      </c>
      <c r="T48" s="4">
        <f>+H48-N48</f>
        <v/>
      </c>
      <c r="U48" s="4">
        <f>+I48-O48</f>
        <v/>
      </c>
      <c r="V48" t="n">
        <v>0</v>
      </c>
      <c r="W48">
        <f>VLOOKUP(A48,'GST Wise Reco'!$A$4:$T$30,20,0)</f>
        <v/>
      </c>
      <c r="X48" t="inlineStr">
        <is>
          <t>Book And 2B Match</t>
        </is>
      </c>
      <c r="Y48" s="5" t="inlineStr">
        <is>
          <t>Book And 2B Match</t>
        </is>
      </c>
    </row>
    <row r="49">
      <c r="A49" t="inlineStr">
        <is>
          <t>AADCD9460D</t>
        </is>
      </c>
      <c r="B49" t="inlineStr">
        <is>
          <t>AADCD9460D_25-26/11/256</t>
        </is>
      </c>
      <c r="D49" t="n">
        <v>0</v>
      </c>
      <c r="E49" s="4">
        <f>SUMIF(Book!$G:$G,$B49,Book!J:J)</f>
        <v/>
      </c>
      <c r="F49" s="4">
        <f>SUMIF(Book!$G:$G,$B49,Book!L:L)</f>
        <v/>
      </c>
      <c r="G49" s="4">
        <f>SUMIF(Book!$G:$G,$B49,Book!M:M)</f>
        <v/>
      </c>
      <c r="H49" s="4">
        <f>SUMIF(Book!$G:$G,$B49,Book!N:N)</f>
        <v/>
      </c>
      <c r="I49" s="4">
        <f>SUMIF(Book!$G:$G,$B49,Book!O:O)</f>
        <v/>
      </c>
      <c r="J49" t="n">
        <v>0</v>
      </c>
      <c r="K49" s="4">
        <f>SUMIF('GSTR-2B'!$G:$G,$B49,'GSTR-2B'!J:J)</f>
        <v/>
      </c>
      <c r="L49" s="4">
        <f>SUMIF('GSTR-2B'!$G:$G,$B49,'GSTR-2B'!L:L)</f>
        <v/>
      </c>
      <c r="M49" s="4">
        <f>SUMIF('GSTR-2B'!$G:$G,$B49,'GSTR-2B'!M:M)</f>
        <v/>
      </c>
      <c r="N49" s="4">
        <f>SUMIF('GSTR-2B'!$G:$G,$B49,'GSTR-2B'!N:N)</f>
        <v/>
      </c>
      <c r="O49" s="4">
        <f>SUMIF('GSTR-2B'!$G:$G,$B49,'GSTR-2B'!O:O)</f>
        <v/>
      </c>
      <c r="P49" t="n">
        <v>0</v>
      </c>
      <c r="Q49" s="4">
        <f>+E49-K49</f>
        <v/>
      </c>
      <c r="R49" s="4">
        <f>+F49-L49</f>
        <v/>
      </c>
      <c r="S49" s="4">
        <f>+G49-M49</f>
        <v/>
      </c>
      <c r="T49" s="4">
        <f>+H49-N49</f>
        <v/>
      </c>
      <c r="U49" s="4">
        <f>+I49-O49</f>
        <v/>
      </c>
      <c r="V49" t="n">
        <v>0</v>
      </c>
      <c r="W49">
        <f>VLOOKUP(A49,'GST Wise Reco'!$A$4:$T$30,20,0)</f>
        <v/>
      </c>
      <c r="X49" t="inlineStr">
        <is>
          <t>Book And 2B Match</t>
        </is>
      </c>
      <c r="Y49" s="5" t="inlineStr">
        <is>
          <t>Book And 2B Match</t>
        </is>
      </c>
    </row>
    <row r="50">
      <c r="A50" t="inlineStr">
        <is>
          <t>AADCD9460D</t>
        </is>
      </c>
      <c r="B50" t="inlineStr">
        <is>
          <t>AADCD9460D_25-26/12/270</t>
        </is>
      </c>
      <c r="D50" t="n">
        <v>0</v>
      </c>
      <c r="E50" s="4">
        <f>SUMIF(Book!$G:$G,$B50,Book!J:J)</f>
        <v/>
      </c>
      <c r="F50" s="4">
        <f>SUMIF(Book!$G:$G,$B50,Book!L:L)</f>
        <v/>
      </c>
      <c r="G50" s="4">
        <f>SUMIF(Book!$G:$G,$B50,Book!M:M)</f>
        <v/>
      </c>
      <c r="H50" s="4">
        <f>SUMIF(Book!$G:$G,$B50,Book!N:N)</f>
        <v/>
      </c>
      <c r="I50" s="4">
        <f>SUMIF(Book!$G:$G,$B50,Book!O:O)</f>
        <v/>
      </c>
      <c r="J50" t="n">
        <v>0</v>
      </c>
      <c r="K50" s="4">
        <f>SUMIF('GSTR-2B'!$G:$G,$B50,'GSTR-2B'!J:J)</f>
        <v/>
      </c>
      <c r="L50" s="4">
        <f>SUMIF('GSTR-2B'!$G:$G,$B50,'GSTR-2B'!L:L)</f>
        <v/>
      </c>
      <c r="M50" s="4">
        <f>SUMIF('GSTR-2B'!$G:$G,$B50,'GSTR-2B'!M:M)</f>
        <v/>
      </c>
      <c r="N50" s="4">
        <f>SUMIF('GSTR-2B'!$G:$G,$B50,'GSTR-2B'!N:N)</f>
        <v/>
      </c>
      <c r="O50" s="4">
        <f>SUMIF('GSTR-2B'!$G:$G,$B50,'GSTR-2B'!O:O)</f>
        <v/>
      </c>
      <c r="P50" t="n">
        <v>0</v>
      </c>
      <c r="Q50" s="4">
        <f>+E50-K50</f>
        <v/>
      </c>
      <c r="R50" s="4">
        <f>+F50-L50</f>
        <v/>
      </c>
      <c r="S50" s="4">
        <f>+G50-M50</f>
        <v/>
      </c>
      <c r="T50" s="4">
        <f>+H50-N50</f>
        <v/>
      </c>
      <c r="U50" s="4">
        <f>+I50-O50</f>
        <v/>
      </c>
      <c r="V50" t="n">
        <v>0</v>
      </c>
      <c r="W50">
        <f>VLOOKUP(A50,'GST Wise Reco'!$A$4:$T$30,20,0)</f>
        <v/>
      </c>
      <c r="X50" t="inlineStr">
        <is>
          <t>Book And 2B Match</t>
        </is>
      </c>
      <c r="Y50" s="5" t="inlineStr">
        <is>
          <t>Book And 2B Match</t>
        </is>
      </c>
    </row>
    <row r="51">
      <c r="A51" t="inlineStr">
        <is>
          <t>AADCD9460D</t>
        </is>
      </c>
      <c r="B51" t="inlineStr">
        <is>
          <t>AADCD9460D_25-26/12/375</t>
        </is>
      </c>
      <c r="D51" t="n">
        <v>0</v>
      </c>
      <c r="E51" s="4">
        <f>SUMIF(Book!$G:$G,$B51,Book!J:J)</f>
        <v/>
      </c>
      <c r="F51" s="4">
        <f>SUMIF(Book!$G:$G,$B51,Book!L:L)</f>
        <v/>
      </c>
      <c r="G51" s="4">
        <f>SUMIF(Book!$G:$G,$B51,Book!M:M)</f>
        <v/>
      </c>
      <c r="H51" s="4">
        <f>SUMIF(Book!$G:$G,$B51,Book!N:N)</f>
        <v/>
      </c>
      <c r="I51" s="4">
        <f>SUMIF(Book!$G:$G,$B51,Book!O:O)</f>
        <v/>
      </c>
      <c r="J51" t="n">
        <v>0</v>
      </c>
      <c r="K51" s="4">
        <f>SUMIF('GSTR-2B'!$G:$G,$B51,'GSTR-2B'!J:J)</f>
        <v/>
      </c>
      <c r="L51" s="4">
        <f>SUMIF('GSTR-2B'!$G:$G,$B51,'GSTR-2B'!L:L)</f>
        <v/>
      </c>
      <c r="M51" s="4">
        <f>SUMIF('GSTR-2B'!$G:$G,$B51,'GSTR-2B'!M:M)</f>
        <v/>
      </c>
      <c r="N51" s="4">
        <f>SUMIF('GSTR-2B'!$G:$G,$B51,'GSTR-2B'!N:N)</f>
        <v/>
      </c>
      <c r="O51" s="4">
        <f>SUMIF('GSTR-2B'!$G:$G,$B51,'GSTR-2B'!O:O)</f>
        <v/>
      </c>
      <c r="P51" t="n">
        <v>0</v>
      </c>
      <c r="Q51" s="4">
        <f>+E51-K51</f>
        <v/>
      </c>
      <c r="R51" s="4">
        <f>+F51-L51</f>
        <v/>
      </c>
      <c r="S51" s="4">
        <f>+G51-M51</f>
        <v/>
      </c>
      <c r="T51" s="4">
        <f>+H51-N51</f>
        <v/>
      </c>
      <c r="U51" s="4">
        <f>+I51-O51</f>
        <v/>
      </c>
      <c r="V51" t="n">
        <v>0</v>
      </c>
      <c r="W51">
        <f>VLOOKUP(A51,'GST Wise Reco'!$A$4:$T$30,20,0)</f>
        <v/>
      </c>
      <c r="X51" t="inlineStr">
        <is>
          <t>Book And 2B Match</t>
        </is>
      </c>
      <c r="Y51" s="5" t="inlineStr">
        <is>
          <t>Book And 2B Match</t>
        </is>
      </c>
    </row>
    <row r="52">
      <c r="A52" t="inlineStr">
        <is>
          <t>AADCD9460D</t>
        </is>
      </c>
      <c r="B52" t="inlineStr">
        <is>
          <t>AADCD9460D_25-26/12/376</t>
        </is>
      </c>
      <c r="D52" t="n">
        <v>0</v>
      </c>
      <c r="E52" s="4">
        <f>SUMIF(Book!$G:$G,$B52,Book!J:J)</f>
        <v/>
      </c>
      <c r="F52" s="4">
        <f>SUMIF(Book!$G:$G,$B52,Book!L:L)</f>
        <v/>
      </c>
      <c r="G52" s="4">
        <f>SUMIF(Book!$G:$G,$B52,Book!M:M)</f>
        <v/>
      </c>
      <c r="H52" s="4">
        <f>SUMIF(Book!$G:$G,$B52,Book!N:N)</f>
        <v/>
      </c>
      <c r="I52" s="4">
        <f>SUMIF(Book!$G:$G,$B52,Book!O:O)</f>
        <v/>
      </c>
      <c r="J52" t="n">
        <v>0</v>
      </c>
      <c r="K52" s="4">
        <f>SUMIF('GSTR-2B'!$G:$G,$B52,'GSTR-2B'!J:J)</f>
        <v/>
      </c>
      <c r="L52" s="4">
        <f>SUMIF('GSTR-2B'!$G:$G,$B52,'GSTR-2B'!L:L)</f>
        <v/>
      </c>
      <c r="M52" s="4">
        <f>SUMIF('GSTR-2B'!$G:$G,$B52,'GSTR-2B'!M:M)</f>
        <v/>
      </c>
      <c r="N52" s="4">
        <f>SUMIF('GSTR-2B'!$G:$G,$B52,'GSTR-2B'!N:N)</f>
        <v/>
      </c>
      <c r="O52" s="4">
        <f>SUMIF('GSTR-2B'!$G:$G,$B52,'GSTR-2B'!O:O)</f>
        <v/>
      </c>
      <c r="P52" t="n">
        <v>0</v>
      </c>
      <c r="Q52" s="4">
        <f>+E52-K52</f>
        <v/>
      </c>
      <c r="R52" s="4">
        <f>+F52-L52</f>
        <v/>
      </c>
      <c r="S52" s="4">
        <f>+G52-M52</f>
        <v/>
      </c>
      <c r="T52" s="4">
        <f>+H52-N52</f>
        <v/>
      </c>
      <c r="U52" s="4">
        <f>+I52-O52</f>
        <v/>
      </c>
      <c r="V52" t="n">
        <v>0</v>
      </c>
      <c r="W52">
        <f>VLOOKUP(A52,'GST Wise Reco'!$A$4:$T$30,20,0)</f>
        <v/>
      </c>
      <c r="X52" t="inlineStr">
        <is>
          <t>Book And 2B Match</t>
        </is>
      </c>
      <c r="Y52" s="5" t="inlineStr">
        <is>
          <t>Book And 2B Match</t>
        </is>
      </c>
    </row>
    <row r="53">
      <c r="A53" t="inlineStr">
        <is>
          <t>AADCD9460D</t>
        </is>
      </c>
      <c r="B53" t="inlineStr">
        <is>
          <t>AADCD9460D_25-26/12/377</t>
        </is>
      </c>
      <c r="D53" t="n">
        <v>0</v>
      </c>
      <c r="E53" s="4">
        <f>SUMIF(Book!$G:$G,$B53,Book!J:J)</f>
        <v/>
      </c>
      <c r="F53" s="4">
        <f>SUMIF(Book!$G:$G,$B53,Book!L:L)</f>
        <v/>
      </c>
      <c r="G53" s="4">
        <f>SUMIF(Book!$G:$G,$B53,Book!M:M)</f>
        <v/>
      </c>
      <c r="H53" s="4">
        <f>SUMIF(Book!$G:$G,$B53,Book!N:N)</f>
        <v/>
      </c>
      <c r="I53" s="4">
        <f>SUMIF(Book!$G:$G,$B53,Book!O:O)</f>
        <v/>
      </c>
      <c r="J53" t="n">
        <v>0</v>
      </c>
      <c r="K53" s="4">
        <f>SUMIF('GSTR-2B'!$G:$G,$B53,'GSTR-2B'!J:J)</f>
        <v/>
      </c>
      <c r="L53" s="4">
        <f>SUMIF('GSTR-2B'!$G:$G,$B53,'GSTR-2B'!L:L)</f>
        <v/>
      </c>
      <c r="M53" s="4">
        <f>SUMIF('GSTR-2B'!$G:$G,$B53,'GSTR-2B'!M:M)</f>
        <v/>
      </c>
      <c r="N53" s="4">
        <f>SUMIF('GSTR-2B'!$G:$G,$B53,'GSTR-2B'!N:N)</f>
        <v/>
      </c>
      <c r="O53" s="4">
        <f>SUMIF('GSTR-2B'!$G:$G,$B53,'GSTR-2B'!O:O)</f>
        <v/>
      </c>
      <c r="P53" t="n">
        <v>0</v>
      </c>
      <c r="Q53" s="4">
        <f>+E53-K53</f>
        <v/>
      </c>
      <c r="R53" s="4">
        <f>+F53-L53</f>
        <v/>
      </c>
      <c r="S53" s="4">
        <f>+G53-M53</f>
        <v/>
      </c>
      <c r="T53" s="4">
        <f>+H53-N53</f>
        <v/>
      </c>
      <c r="U53" s="4">
        <f>+I53-O53</f>
        <v/>
      </c>
      <c r="V53" t="n">
        <v>0</v>
      </c>
      <c r="W53">
        <f>VLOOKUP(A53,'GST Wise Reco'!$A$4:$T$30,20,0)</f>
        <v/>
      </c>
      <c r="X53" t="inlineStr">
        <is>
          <t>Book And 2B Match</t>
        </is>
      </c>
      <c r="Y53" s="5" t="inlineStr">
        <is>
          <t>Book And 2B Match</t>
        </is>
      </c>
    </row>
    <row r="54">
      <c r="A54" t="inlineStr">
        <is>
          <t>AADCD9460D</t>
        </is>
      </c>
      <c r="B54" t="inlineStr">
        <is>
          <t>AADCD9460D_25-26/12/378</t>
        </is>
      </c>
      <c r="D54" t="n">
        <v>0</v>
      </c>
      <c r="E54" s="4">
        <f>SUMIF(Book!$G:$G,$B54,Book!J:J)</f>
        <v/>
      </c>
      <c r="F54" s="4">
        <f>SUMIF(Book!$G:$G,$B54,Book!L:L)</f>
        <v/>
      </c>
      <c r="G54" s="4">
        <f>SUMIF(Book!$G:$G,$B54,Book!M:M)</f>
        <v/>
      </c>
      <c r="H54" s="4">
        <f>SUMIF(Book!$G:$G,$B54,Book!N:N)</f>
        <v/>
      </c>
      <c r="I54" s="4">
        <f>SUMIF(Book!$G:$G,$B54,Book!O:O)</f>
        <v/>
      </c>
      <c r="J54" t="n">
        <v>0</v>
      </c>
      <c r="K54" s="4">
        <f>SUMIF('GSTR-2B'!$G:$G,$B54,'GSTR-2B'!J:J)</f>
        <v/>
      </c>
      <c r="L54" s="4">
        <f>SUMIF('GSTR-2B'!$G:$G,$B54,'GSTR-2B'!L:L)</f>
        <v/>
      </c>
      <c r="M54" s="4">
        <f>SUMIF('GSTR-2B'!$G:$G,$B54,'GSTR-2B'!M:M)</f>
        <v/>
      </c>
      <c r="N54" s="4">
        <f>SUMIF('GSTR-2B'!$G:$G,$B54,'GSTR-2B'!N:N)</f>
        <v/>
      </c>
      <c r="O54" s="4">
        <f>SUMIF('GSTR-2B'!$G:$G,$B54,'GSTR-2B'!O:O)</f>
        <v/>
      </c>
      <c r="P54" t="n">
        <v>0</v>
      </c>
      <c r="Q54" s="4">
        <f>+E54-K54</f>
        <v/>
      </c>
      <c r="R54" s="4">
        <f>+F54-L54</f>
        <v/>
      </c>
      <c r="S54" s="4">
        <f>+G54-M54</f>
        <v/>
      </c>
      <c r="T54" s="4">
        <f>+H54-N54</f>
        <v/>
      </c>
      <c r="U54" s="4">
        <f>+I54-O54</f>
        <v/>
      </c>
      <c r="V54" t="n">
        <v>0</v>
      </c>
      <c r="W54">
        <f>VLOOKUP(A54,'GST Wise Reco'!$A$4:$T$30,20,0)</f>
        <v/>
      </c>
      <c r="X54" t="inlineStr">
        <is>
          <t>Book And 2B Match</t>
        </is>
      </c>
      <c r="Y54" s="5" t="inlineStr">
        <is>
          <t>Book And 2B Match</t>
        </is>
      </c>
    </row>
    <row r="55">
      <c r="A55" t="inlineStr">
        <is>
          <t>AADCD9460D</t>
        </is>
      </c>
      <c r="B55" t="inlineStr">
        <is>
          <t>AADCD9460D_25-26/12/63</t>
        </is>
      </c>
      <c r="D55" t="n">
        <v>0</v>
      </c>
      <c r="E55" s="4">
        <f>SUMIF(Book!$G:$G,$B55,Book!J:J)</f>
        <v/>
      </c>
      <c r="F55" s="4">
        <f>SUMIF(Book!$G:$G,$B55,Book!L:L)</f>
        <v/>
      </c>
      <c r="G55" s="4">
        <f>SUMIF(Book!$G:$G,$B55,Book!M:M)</f>
        <v/>
      </c>
      <c r="H55" s="4">
        <f>SUMIF(Book!$G:$G,$B55,Book!N:N)</f>
        <v/>
      </c>
      <c r="I55" s="4">
        <f>SUMIF(Book!$G:$G,$B55,Book!O:O)</f>
        <v/>
      </c>
      <c r="J55" t="n">
        <v>0</v>
      </c>
      <c r="K55" s="4">
        <f>SUMIF('GSTR-2B'!$G:$G,$B55,'GSTR-2B'!J:J)</f>
        <v/>
      </c>
      <c r="L55" s="4">
        <f>SUMIF('GSTR-2B'!$G:$G,$B55,'GSTR-2B'!L:L)</f>
        <v/>
      </c>
      <c r="M55" s="4">
        <f>SUMIF('GSTR-2B'!$G:$G,$B55,'GSTR-2B'!M:M)</f>
        <v/>
      </c>
      <c r="N55" s="4">
        <f>SUMIF('GSTR-2B'!$G:$G,$B55,'GSTR-2B'!N:N)</f>
        <v/>
      </c>
      <c r="O55" s="4">
        <f>SUMIF('GSTR-2B'!$G:$G,$B55,'GSTR-2B'!O:O)</f>
        <v/>
      </c>
      <c r="P55" t="n">
        <v>0</v>
      </c>
      <c r="Q55" s="4">
        <f>+E55-K55</f>
        <v/>
      </c>
      <c r="R55" s="4">
        <f>+F55-L55</f>
        <v/>
      </c>
      <c r="S55" s="4">
        <f>+G55-M55</f>
        <v/>
      </c>
      <c r="T55" s="4">
        <f>+H55-N55</f>
        <v/>
      </c>
      <c r="U55" s="4">
        <f>+I55-O55</f>
        <v/>
      </c>
      <c r="V55" t="n">
        <v>0</v>
      </c>
      <c r="W55">
        <f>VLOOKUP(A55,'GST Wise Reco'!$A$4:$T$30,20,0)</f>
        <v/>
      </c>
      <c r="X55" t="inlineStr">
        <is>
          <t>Book And 2B Match</t>
        </is>
      </c>
      <c r="Y55" s="5" t="inlineStr">
        <is>
          <t>Book And 2B Match</t>
        </is>
      </c>
    </row>
    <row r="56">
      <c r="A56" t="inlineStr">
        <is>
          <t>AADCD9460D</t>
        </is>
      </c>
      <c r="B56" t="inlineStr">
        <is>
          <t>AADCD9460D_25-26/2/331</t>
        </is>
      </c>
      <c r="D56" t="n">
        <v>0</v>
      </c>
      <c r="E56" s="4">
        <f>SUMIF(Book!$G:$G,$B56,Book!J:J)</f>
        <v/>
      </c>
      <c r="F56" s="4">
        <f>SUMIF(Book!$G:$G,$B56,Book!L:L)</f>
        <v/>
      </c>
      <c r="G56" s="4">
        <f>SUMIF(Book!$G:$G,$B56,Book!M:M)</f>
        <v/>
      </c>
      <c r="H56" s="4">
        <f>SUMIF(Book!$G:$G,$B56,Book!N:N)</f>
        <v/>
      </c>
      <c r="I56" s="4">
        <f>SUMIF(Book!$G:$G,$B56,Book!O:O)</f>
        <v/>
      </c>
      <c r="J56" t="n">
        <v>0</v>
      </c>
      <c r="K56" s="4">
        <f>SUMIF('GSTR-2B'!$G:$G,$B56,'GSTR-2B'!J:J)</f>
        <v/>
      </c>
      <c r="L56" s="4">
        <f>SUMIF('GSTR-2B'!$G:$G,$B56,'GSTR-2B'!L:L)</f>
        <v/>
      </c>
      <c r="M56" s="4">
        <f>SUMIF('GSTR-2B'!$G:$G,$B56,'GSTR-2B'!M:M)</f>
        <v/>
      </c>
      <c r="N56" s="4">
        <f>SUMIF('GSTR-2B'!$G:$G,$B56,'GSTR-2B'!N:N)</f>
        <v/>
      </c>
      <c r="O56" s="4">
        <f>SUMIF('GSTR-2B'!$G:$G,$B56,'GSTR-2B'!O:O)</f>
        <v/>
      </c>
      <c r="P56" t="n">
        <v>0</v>
      </c>
      <c r="Q56" s="4">
        <f>+E56-K56</f>
        <v/>
      </c>
      <c r="R56" s="4">
        <f>+F56-L56</f>
        <v/>
      </c>
      <c r="S56" s="4">
        <f>+G56-M56</f>
        <v/>
      </c>
      <c r="T56" s="4">
        <f>+H56-N56</f>
        <v/>
      </c>
      <c r="U56" s="4">
        <f>+I56-O56</f>
        <v/>
      </c>
      <c r="V56" t="n">
        <v>0</v>
      </c>
      <c r="W56">
        <f>VLOOKUP(A56,'GST Wise Reco'!$A$4:$T$30,20,0)</f>
        <v/>
      </c>
      <c r="X56" t="inlineStr">
        <is>
          <t>Book And 2B Match</t>
        </is>
      </c>
      <c r="Y56" s="5" t="inlineStr">
        <is>
          <t>Book And 2B Match</t>
        </is>
      </c>
    </row>
    <row r="57">
      <c r="A57" t="inlineStr">
        <is>
          <t>AADCD9460D</t>
        </is>
      </c>
      <c r="B57" t="inlineStr">
        <is>
          <t>AADCD9460D_25-26/3/377</t>
        </is>
      </c>
      <c r="D57" t="n">
        <v>0</v>
      </c>
      <c r="E57" s="4">
        <f>SUMIF(Book!$G:$G,$B57,Book!J:J)</f>
        <v/>
      </c>
      <c r="F57" s="4">
        <f>SUMIF(Book!$G:$G,$B57,Book!L:L)</f>
        <v/>
      </c>
      <c r="G57" s="4">
        <f>SUMIF(Book!$G:$G,$B57,Book!M:M)</f>
        <v/>
      </c>
      <c r="H57" s="4">
        <f>SUMIF(Book!$G:$G,$B57,Book!N:N)</f>
        <v/>
      </c>
      <c r="I57" s="4">
        <f>SUMIF(Book!$G:$G,$B57,Book!O:O)</f>
        <v/>
      </c>
      <c r="J57" t="n">
        <v>0</v>
      </c>
      <c r="K57" s="4">
        <f>SUMIF('GSTR-2B'!$G:$G,$B57,'GSTR-2B'!J:J)</f>
        <v/>
      </c>
      <c r="L57" s="4">
        <f>SUMIF('GSTR-2B'!$G:$G,$B57,'GSTR-2B'!L:L)</f>
        <v/>
      </c>
      <c r="M57" s="4">
        <f>SUMIF('GSTR-2B'!$G:$G,$B57,'GSTR-2B'!M:M)</f>
        <v/>
      </c>
      <c r="N57" s="4">
        <f>SUMIF('GSTR-2B'!$G:$G,$B57,'GSTR-2B'!N:N)</f>
        <v/>
      </c>
      <c r="O57" s="4">
        <f>SUMIF('GSTR-2B'!$G:$G,$B57,'GSTR-2B'!O:O)</f>
        <v/>
      </c>
      <c r="P57" t="n">
        <v>0</v>
      </c>
      <c r="Q57" s="4">
        <f>+E57-K57</f>
        <v/>
      </c>
      <c r="R57" s="4">
        <f>+F57-L57</f>
        <v/>
      </c>
      <c r="S57" s="4">
        <f>+G57-M57</f>
        <v/>
      </c>
      <c r="T57" s="4">
        <f>+H57-N57</f>
        <v/>
      </c>
      <c r="U57" s="4">
        <f>+I57-O57</f>
        <v/>
      </c>
      <c r="V57" t="n">
        <v>0</v>
      </c>
      <c r="W57">
        <f>VLOOKUP(A57,'GST Wise Reco'!$A$4:$T$30,20,0)</f>
        <v/>
      </c>
      <c r="X57" t="inlineStr">
        <is>
          <t>Vendor are show in 2B - Tax Invoices and CN</t>
        </is>
      </c>
      <c r="Y57" s="6" t="inlineStr">
        <is>
          <t>Vendor are show in 2B - Tax Invoices and CN</t>
        </is>
      </c>
    </row>
    <row r="58">
      <c r="A58" t="inlineStr">
        <is>
          <t>AADCD9460D</t>
        </is>
      </c>
      <c r="B58" t="inlineStr">
        <is>
          <t>AADCD9460D_25-26/3/396</t>
        </is>
      </c>
      <c r="D58" t="n">
        <v>0</v>
      </c>
      <c r="E58" s="4">
        <f>SUMIF(Book!$G:$G,$B58,Book!J:J)</f>
        <v/>
      </c>
      <c r="F58" s="4">
        <f>SUMIF(Book!$G:$G,$B58,Book!L:L)</f>
        <v/>
      </c>
      <c r="G58" s="4">
        <f>SUMIF(Book!$G:$G,$B58,Book!M:M)</f>
        <v/>
      </c>
      <c r="H58" s="4">
        <f>SUMIF(Book!$G:$G,$B58,Book!N:N)</f>
        <v/>
      </c>
      <c r="I58" s="4">
        <f>SUMIF(Book!$G:$G,$B58,Book!O:O)</f>
        <v/>
      </c>
      <c r="J58" t="n">
        <v>0</v>
      </c>
      <c r="K58" s="4">
        <f>SUMIF('GSTR-2B'!$G:$G,$B58,'GSTR-2B'!J:J)</f>
        <v/>
      </c>
      <c r="L58" s="4">
        <f>SUMIF('GSTR-2B'!$G:$G,$B58,'GSTR-2B'!L:L)</f>
        <v/>
      </c>
      <c r="M58" s="4">
        <f>SUMIF('GSTR-2B'!$G:$G,$B58,'GSTR-2B'!M:M)</f>
        <v/>
      </c>
      <c r="N58" s="4">
        <f>SUMIF('GSTR-2B'!$G:$G,$B58,'GSTR-2B'!N:N)</f>
        <v/>
      </c>
      <c r="O58" s="4">
        <f>SUMIF('GSTR-2B'!$G:$G,$B58,'GSTR-2B'!O:O)</f>
        <v/>
      </c>
      <c r="P58" t="n">
        <v>0</v>
      </c>
      <c r="Q58" s="4">
        <f>+E58-K58</f>
        <v/>
      </c>
      <c r="R58" s="4">
        <f>+F58-L58</f>
        <v/>
      </c>
      <c r="S58" s="4">
        <f>+G58-M58</f>
        <v/>
      </c>
      <c r="T58" s="4">
        <f>+H58-N58</f>
        <v/>
      </c>
      <c r="U58" s="4">
        <f>+I58-O58</f>
        <v/>
      </c>
      <c r="V58" t="n">
        <v>0</v>
      </c>
      <c r="W58">
        <f>VLOOKUP(A58,'GST Wise Reco'!$A$4:$T$30,20,0)</f>
        <v/>
      </c>
      <c r="X58" t="inlineStr">
        <is>
          <t>Book And 2B Match</t>
        </is>
      </c>
      <c r="Y58" s="5" t="inlineStr">
        <is>
          <t>Book And 2B Match</t>
        </is>
      </c>
    </row>
    <row r="59">
      <c r="A59" t="inlineStr">
        <is>
          <t>AADCD9460D</t>
        </is>
      </c>
      <c r="B59" t="inlineStr">
        <is>
          <t>AADCD9460D_25-26/4/214</t>
        </is>
      </c>
      <c r="D59" t="n">
        <v>0</v>
      </c>
      <c r="E59" s="4">
        <f>SUMIF(Book!$G:$G,$B59,Book!J:J)</f>
        <v/>
      </c>
      <c r="F59" s="4">
        <f>SUMIF(Book!$G:$G,$B59,Book!L:L)</f>
        <v/>
      </c>
      <c r="G59" s="4">
        <f>SUMIF(Book!$G:$G,$B59,Book!M:M)</f>
        <v/>
      </c>
      <c r="H59" s="4">
        <f>SUMIF(Book!$G:$G,$B59,Book!N:N)</f>
        <v/>
      </c>
      <c r="I59" s="4">
        <f>SUMIF(Book!$G:$G,$B59,Book!O:O)</f>
        <v/>
      </c>
      <c r="J59" t="n">
        <v>0</v>
      </c>
      <c r="K59" s="4">
        <f>SUMIF('GSTR-2B'!$G:$G,$B59,'GSTR-2B'!J:J)</f>
        <v/>
      </c>
      <c r="L59" s="4">
        <f>SUMIF('GSTR-2B'!$G:$G,$B59,'GSTR-2B'!L:L)</f>
        <v/>
      </c>
      <c r="M59" s="4">
        <f>SUMIF('GSTR-2B'!$G:$G,$B59,'GSTR-2B'!M:M)</f>
        <v/>
      </c>
      <c r="N59" s="4">
        <f>SUMIF('GSTR-2B'!$G:$G,$B59,'GSTR-2B'!N:N)</f>
        <v/>
      </c>
      <c r="O59" s="4">
        <f>SUMIF('GSTR-2B'!$G:$G,$B59,'GSTR-2B'!O:O)</f>
        <v/>
      </c>
      <c r="P59" t="n">
        <v>0</v>
      </c>
      <c r="Q59" s="4">
        <f>+E59-K59</f>
        <v/>
      </c>
      <c r="R59" s="4">
        <f>+F59-L59</f>
        <v/>
      </c>
      <c r="S59" s="4">
        <f>+G59-M59</f>
        <v/>
      </c>
      <c r="T59" s="4">
        <f>+H59-N59</f>
        <v/>
      </c>
      <c r="U59" s="4">
        <f>+I59-O59</f>
        <v/>
      </c>
      <c r="V59" t="n">
        <v>0</v>
      </c>
      <c r="W59">
        <f>VLOOKUP(A59,'GST Wise Reco'!$A$4:$T$30,20,0)</f>
        <v/>
      </c>
      <c r="X59" t="inlineStr">
        <is>
          <t>Book And 2B Match</t>
        </is>
      </c>
      <c r="Y59" s="5" t="inlineStr">
        <is>
          <t>Book And 2B Match</t>
        </is>
      </c>
    </row>
    <row r="60">
      <c r="A60" t="inlineStr">
        <is>
          <t>AADCD9460D</t>
        </is>
      </c>
      <c r="B60" t="inlineStr">
        <is>
          <t>AADCD9460D_25-26/5/206</t>
        </is>
      </c>
      <c r="D60" t="n">
        <v>0</v>
      </c>
      <c r="E60" s="4">
        <f>SUMIF(Book!$G:$G,$B60,Book!J:J)</f>
        <v/>
      </c>
      <c r="F60" s="4">
        <f>SUMIF(Book!$G:$G,$B60,Book!L:L)</f>
        <v/>
      </c>
      <c r="G60" s="4">
        <f>SUMIF(Book!$G:$G,$B60,Book!M:M)</f>
        <v/>
      </c>
      <c r="H60" s="4">
        <f>SUMIF(Book!$G:$G,$B60,Book!N:N)</f>
        <v/>
      </c>
      <c r="I60" s="4">
        <f>SUMIF(Book!$G:$G,$B60,Book!O:O)</f>
        <v/>
      </c>
      <c r="J60" t="n">
        <v>0</v>
      </c>
      <c r="K60" s="4">
        <f>SUMIF('GSTR-2B'!$G:$G,$B60,'GSTR-2B'!J:J)</f>
        <v/>
      </c>
      <c r="L60" s="4">
        <f>SUMIF('GSTR-2B'!$G:$G,$B60,'GSTR-2B'!L:L)</f>
        <v/>
      </c>
      <c r="M60" s="4">
        <f>SUMIF('GSTR-2B'!$G:$G,$B60,'GSTR-2B'!M:M)</f>
        <v/>
      </c>
      <c r="N60" s="4">
        <f>SUMIF('GSTR-2B'!$G:$G,$B60,'GSTR-2B'!N:N)</f>
        <v/>
      </c>
      <c r="O60" s="4">
        <f>SUMIF('GSTR-2B'!$G:$G,$B60,'GSTR-2B'!O:O)</f>
        <v/>
      </c>
      <c r="P60" t="n">
        <v>0</v>
      </c>
      <c r="Q60" s="4">
        <f>+E60-K60</f>
        <v/>
      </c>
      <c r="R60" s="4">
        <f>+F60-L60</f>
        <v/>
      </c>
      <c r="S60" s="4">
        <f>+G60-M60</f>
        <v/>
      </c>
      <c r="T60" s="4">
        <f>+H60-N60</f>
        <v/>
      </c>
      <c r="U60" s="4">
        <f>+I60-O60</f>
        <v/>
      </c>
      <c r="V60" t="n">
        <v>0</v>
      </c>
      <c r="W60">
        <f>VLOOKUP(A60,'GST Wise Reco'!$A$4:$T$30,20,0)</f>
        <v/>
      </c>
      <c r="X60" t="inlineStr">
        <is>
          <t>Book And 2B Match</t>
        </is>
      </c>
      <c r="Y60" s="5" t="inlineStr">
        <is>
          <t>Book And 2B Match</t>
        </is>
      </c>
    </row>
    <row r="61">
      <c r="A61" t="inlineStr">
        <is>
          <t>AADCD9460D</t>
        </is>
      </c>
      <c r="B61" t="inlineStr">
        <is>
          <t>AADCD9460D_25-26/6/178</t>
        </is>
      </c>
      <c r="D61" t="n">
        <v>0</v>
      </c>
      <c r="E61" s="4">
        <f>SUMIF(Book!$G:$G,$B61,Book!J:J)</f>
        <v/>
      </c>
      <c r="F61" s="4">
        <f>SUMIF(Book!$G:$G,$B61,Book!L:L)</f>
        <v/>
      </c>
      <c r="G61" s="4">
        <f>SUMIF(Book!$G:$G,$B61,Book!M:M)</f>
        <v/>
      </c>
      <c r="H61" s="4">
        <f>SUMIF(Book!$G:$G,$B61,Book!N:N)</f>
        <v/>
      </c>
      <c r="I61" s="4">
        <f>SUMIF(Book!$G:$G,$B61,Book!O:O)</f>
        <v/>
      </c>
      <c r="J61" t="n">
        <v>0</v>
      </c>
      <c r="K61" s="4">
        <f>SUMIF('GSTR-2B'!$G:$G,$B61,'GSTR-2B'!J:J)</f>
        <v/>
      </c>
      <c r="L61" s="4">
        <f>SUMIF('GSTR-2B'!$G:$G,$B61,'GSTR-2B'!L:L)</f>
        <v/>
      </c>
      <c r="M61" s="4">
        <f>SUMIF('GSTR-2B'!$G:$G,$B61,'GSTR-2B'!M:M)</f>
        <v/>
      </c>
      <c r="N61" s="4">
        <f>SUMIF('GSTR-2B'!$G:$G,$B61,'GSTR-2B'!N:N)</f>
        <v/>
      </c>
      <c r="O61" s="4">
        <f>SUMIF('GSTR-2B'!$G:$G,$B61,'GSTR-2B'!O:O)</f>
        <v/>
      </c>
      <c r="P61" t="n">
        <v>0</v>
      </c>
      <c r="Q61" s="4">
        <f>+E61-K61</f>
        <v/>
      </c>
      <c r="R61" s="4">
        <f>+F61-L61</f>
        <v/>
      </c>
      <c r="S61" s="4">
        <f>+G61-M61</f>
        <v/>
      </c>
      <c r="T61" s="4">
        <f>+H61-N61</f>
        <v/>
      </c>
      <c r="U61" s="4">
        <f>+I61-O61</f>
        <v/>
      </c>
      <c r="V61" t="n">
        <v>0</v>
      </c>
      <c r="W61">
        <f>VLOOKUP(A61,'GST Wise Reco'!$A$4:$T$30,20,0)</f>
        <v/>
      </c>
      <c r="X61" t="inlineStr">
        <is>
          <t>Book And 2B Match</t>
        </is>
      </c>
      <c r="Y61" s="5" t="inlineStr">
        <is>
          <t>Book And 2B Match</t>
        </is>
      </c>
    </row>
    <row r="62">
      <c r="A62" t="inlineStr">
        <is>
          <t>AADCD9460D</t>
        </is>
      </c>
      <c r="B62" t="inlineStr">
        <is>
          <t>AADCD9460D_25-26/7/227</t>
        </is>
      </c>
      <c r="D62" t="n">
        <v>0</v>
      </c>
      <c r="E62" s="4">
        <f>SUMIF(Book!$G:$G,$B62,Book!J:J)</f>
        <v/>
      </c>
      <c r="F62" s="4">
        <f>SUMIF(Book!$G:$G,$B62,Book!L:L)</f>
        <v/>
      </c>
      <c r="G62" s="4">
        <f>SUMIF(Book!$G:$G,$B62,Book!M:M)</f>
        <v/>
      </c>
      <c r="H62" s="4">
        <f>SUMIF(Book!$G:$G,$B62,Book!N:N)</f>
        <v/>
      </c>
      <c r="I62" s="4">
        <f>SUMIF(Book!$G:$G,$B62,Book!O:O)</f>
        <v/>
      </c>
      <c r="J62" t="n">
        <v>0</v>
      </c>
      <c r="K62" s="4">
        <f>SUMIF('GSTR-2B'!$G:$G,$B62,'GSTR-2B'!J:J)</f>
        <v/>
      </c>
      <c r="L62" s="4">
        <f>SUMIF('GSTR-2B'!$G:$G,$B62,'GSTR-2B'!L:L)</f>
        <v/>
      </c>
      <c r="M62" s="4">
        <f>SUMIF('GSTR-2B'!$G:$G,$B62,'GSTR-2B'!M:M)</f>
        <v/>
      </c>
      <c r="N62" s="4">
        <f>SUMIF('GSTR-2B'!$G:$G,$B62,'GSTR-2B'!N:N)</f>
        <v/>
      </c>
      <c r="O62" s="4">
        <f>SUMIF('GSTR-2B'!$G:$G,$B62,'GSTR-2B'!O:O)</f>
        <v/>
      </c>
      <c r="P62" t="n">
        <v>0</v>
      </c>
      <c r="Q62" s="4">
        <f>+E62-K62</f>
        <v/>
      </c>
      <c r="R62" s="4">
        <f>+F62-L62</f>
        <v/>
      </c>
      <c r="S62" s="4">
        <f>+G62-M62</f>
        <v/>
      </c>
      <c r="T62" s="4">
        <f>+H62-N62</f>
        <v/>
      </c>
      <c r="U62" s="4">
        <f>+I62-O62</f>
        <v/>
      </c>
      <c r="V62" t="n">
        <v>0</v>
      </c>
      <c r="W62">
        <f>VLOOKUP(A62,'GST Wise Reco'!$A$4:$T$30,20,0)</f>
        <v/>
      </c>
      <c r="X62" t="inlineStr">
        <is>
          <t>Book And 2B Match</t>
        </is>
      </c>
      <c r="Y62" s="5" t="inlineStr">
        <is>
          <t>Book And 2B Match</t>
        </is>
      </c>
    </row>
    <row r="63">
      <c r="A63" t="inlineStr">
        <is>
          <t>AADCD9460D</t>
        </is>
      </c>
      <c r="B63" t="inlineStr">
        <is>
          <t>AADCD9460D_25-26/8/247</t>
        </is>
      </c>
      <c r="D63" t="n">
        <v>0</v>
      </c>
      <c r="E63" s="4">
        <f>SUMIF(Book!$G:$G,$B63,Book!J:J)</f>
        <v/>
      </c>
      <c r="F63" s="4">
        <f>SUMIF(Book!$G:$G,$B63,Book!L:L)</f>
        <v/>
      </c>
      <c r="G63" s="4">
        <f>SUMIF(Book!$G:$G,$B63,Book!M:M)</f>
        <v/>
      </c>
      <c r="H63" s="4">
        <f>SUMIF(Book!$G:$G,$B63,Book!N:N)</f>
        <v/>
      </c>
      <c r="I63" s="4">
        <f>SUMIF(Book!$G:$G,$B63,Book!O:O)</f>
        <v/>
      </c>
      <c r="J63" t="n">
        <v>0</v>
      </c>
      <c r="K63" s="4">
        <f>SUMIF('GSTR-2B'!$G:$G,$B63,'GSTR-2B'!J:J)</f>
        <v/>
      </c>
      <c r="L63" s="4">
        <f>SUMIF('GSTR-2B'!$G:$G,$B63,'GSTR-2B'!L:L)</f>
        <v/>
      </c>
      <c r="M63" s="4">
        <f>SUMIF('GSTR-2B'!$G:$G,$B63,'GSTR-2B'!M:M)</f>
        <v/>
      </c>
      <c r="N63" s="4">
        <f>SUMIF('GSTR-2B'!$G:$G,$B63,'GSTR-2B'!N:N)</f>
        <v/>
      </c>
      <c r="O63" s="4">
        <f>SUMIF('GSTR-2B'!$G:$G,$B63,'GSTR-2B'!O:O)</f>
        <v/>
      </c>
      <c r="P63" t="n">
        <v>0</v>
      </c>
      <c r="Q63" s="4">
        <f>+E63-K63</f>
        <v/>
      </c>
      <c r="R63" s="4">
        <f>+F63-L63</f>
        <v/>
      </c>
      <c r="S63" s="4">
        <f>+G63-M63</f>
        <v/>
      </c>
      <c r="T63" s="4">
        <f>+H63-N63</f>
        <v/>
      </c>
      <c r="U63" s="4">
        <f>+I63-O63</f>
        <v/>
      </c>
      <c r="V63" t="n">
        <v>0</v>
      </c>
      <c r="W63">
        <f>VLOOKUP(A63,'GST Wise Reco'!$A$4:$T$30,20,0)</f>
        <v/>
      </c>
      <c r="X63" t="inlineStr">
        <is>
          <t>Book And 2B Match</t>
        </is>
      </c>
      <c r="Y63" s="5" t="inlineStr">
        <is>
          <t>Book And 2B Match</t>
        </is>
      </c>
    </row>
    <row r="64">
      <c r="A64" t="inlineStr">
        <is>
          <t>AADCD9460D</t>
        </is>
      </c>
      <c r="B64" t="inlineStr">
        <is>
          <t>AADCD9460D_25-26/9/258</t>
        </is>
      </c>
      <c r="D64" t="n">
        <v>0</v>
      </c>
      <c r="E64" s="4">
        <f>SUMIF(Book!$G:$G,$B64,Book!J:J)</f>
        <v/>
      </c>
      <c r="F64" s="4">
        <f>SUMIF(Book!$G:$G,$B64,Book!L:L)</f>
        <v/>
      </c>
      <c r="G64" s="4">
        <f>SUMIF(Book!$G:$G,$B64,Book!M:M)</f>
        <v/>
      </c>
      <c r="H64" s="4">
        <f>SUMIF(Book!$G:$G,$B64,Book!N:N)</f>
        <v/>
      </c>
      <c r="I64" s="4">
        <f>SUMIF(Book!$G:$G,$B64,Book!O:O)</f>
        <v/>
      </c>
      <c r="J64" t="n">
        <v>0</v>
      </c>
      <c r="K64" s="4">
        <f>SUMIF('GSTR-2B'!$G:$G,$B64,'GSTR-2B'!J:J)</f>
        <v/>
      </c>
      <c r="L64" s="4">
        <f>SUMIF('GSTR-2B'!$G:$G,$B64,'GSTR-2B'!L:L)</f>
        <v/>
      </c>
      <c r="M64" s="4">
        <f>SUMIF('GSTR-2B'!$G:$G,$B64,'GSTR-2B'!M:M)</f>
        <v/>
      </c>
      <c r="N64" s="4">
        <f>SUMIF('GSTR-2B'!$G:$G,$B64,'GSTR-2B'!N:N)</f>
        <v/>
      </c>
      <c r="O64" s="4">
        <f>SUMIF('GSTR-2B'!$G:$G,$B64,'GSTR-2B'!O:O)</f>
        <v/>
      </c>
      <c r="P64" t="n">
        <v>0</v>
      </c>
      <c r="Q64" s="4">
        <f>+E64-K64</f>
        <v/>
      </c>
      <c r="R64" s="4">
        <f>+F64-L64</f>
        <v/>
      </c>
      <c r="S64" s="4">
        <f>+G64-M64</f>
        <v/>
      </c>
      <c r="T64" s="4">
        <f>+H64-N64</f>
        <v/>
      </c>
      <c r="U64" s="4">
        <f>+I64-O64</f>
        <v/>
      </c>
      <c r="V64" t="n">
        <v>0</v>
      </c>
      <c r="W64">
        <f>VLOOKUP(A64,'GST Wise Reco'!$A$4:$T$30,20,0)</f>
        <v/>
      </c>
      <c r="X64" t="inlineStr">
        <is>
          <t>Book And 2B Match</t>
        </is>
      </c>
      <c r="Y64" s="5" t="inlineStr">
        <is>
          <t>Book And 2B Match</t>
        </is>
      </c>
    </row>
    <row r="65">
      <c r="A65" t="inlineStr">
        <is>
          <t>AADCD9460D</t>
        </is>
      </c>
      <c r="B65" t="inlineStr">
        <is>
          <t>AADCD9460D_79</t>
        </is>
      </c>
      <c r="D65" t="n">
        <v>0</v>
      </c>
      <c r="E65" s="4">
        <f>SUMIF(Book!$G:$G,$B65,Book!J:J)</f>
        <v/>
      </c>
      <c r="F65" s="4">
        <f>SUMIF(Book!$G:$G,$B65,Book!L:L)</f>
        <v/>
      </c>
      <c r="G65" s="4">
        <f>SUMIF(Book!$G:$G,$B65,Book!M:M)</f>
        <v/>
      </c>
      <c r="H65" s="4">
        <f>SUMIF(Book!$G:$G,$B65,Book!N:N)</f>
        <v/>
      </c>
      <c r="I65" s="4">
        <f>SUMIF(Book!$G:$G,$B65,Book!O:O)</f>
        <v/>
      </c>
      <c r="J65" t="n">
        <v>0</v>
      </c>
      <c r="K65" s="4">
        <f>SUMIF('GSTR-2B'!$G:$G,$B65,'GSTR-2B'!J:J)</f>
        <v/>
      </c>
      <c r="L65" s="4">
        <f>SUMIF('GSTR-2B'!$G:$G,$B65,'GSTR-2B'!L:L)</f>
        <v/>
      </c>
      <c r="M65" s="4">
        <f>SUMIF('GSTR-2B'!$G:$G,$B65,'GSTR-2B'!M:M)</f>
        <v/>
      </c>
      <c r="N65" s="4">
        <f>SUMIF('GSTR-2B'!$G:$G,$B65,'GSTR-2B'!N:N)</f>
        <v/>
      </c>
      <c r="O65" s="4">
        <f>SUMIF('GSTR-2B'!$G:$G,$B65,'GSTR-2B'!O:O)</f>
        <v/>
      </c>
      <c r="P65" t="n">
        <v>0</v>
      </c>
      <c r="Q65" s="4">
        <f>+E65-K65</f>
        <v/>
      </c>
      <c r="R65" s="4">
        <f>+F65-L65</f>
        <v/>
      </c>
      <c r="S65" s="4">
        <f>+G65-M65</f>
        <v/>
      </c>
      <c r="T65" s="4">
        <f>+H65-N65</f>
        <v/>
      </c>
      <c r="U65" s="4">
        <f>+I65-O65</f>
        <v/>
      </c>
      <c r="V65" t="n">
        <v>0</v>
      </c>
      <c r="W65">
        <f>VLOOKUP(A65,'GST Wise Reco'!$A$4:$T$30,20,0)</f>
        <v/>
      </c>
      <c r="X65" t="inlineStr">
        <is>
          <t>Vendor are show in 2B - Tax Invoices and CN</t>
        </is>
      </c>
      <c r="Y65" s="6" t="inlineStr">
        <is>
          <t>Vendor are show in 2B - Tax Invoices and CN</t>
        </is>
      </c>
    </row>
    <row r="66">
      <c r="A66" t="inlineStr">
        <is>
          <t>AADCN9802F</t>
        </is>
      </c>
      <c r="B66" t="inlineStr">
        <is>
          <t>AADCN9802F_UCF/DT0425/56863</t>
        </is>
      </c>
      <c r="D66" t="n">
        <v>0</v>
      </c>
      <c r="E66" s="4">
        <f>SUMIF(Book!$G:$G,$B66,Book!J:J)</f>
        <v/>
      </c>
      <c r="F66" s="4">
        <f>SUMIF(Book!$G:$G,$B66,Book!L:L)</f>
        <v/>
      </c>
      <c r="G66" s="4">
        <f>SUMIF(Book!$G:$G,$B66,Book!M:M)</f>
        <v/>
      </c>
      <c r="H66" s="4">
        <f>SUMIF(Book!$G:$G,$B66,Book!N:N)</f>
        <v/>
      </c>
      <c r="I66" s="4">
        <f>SUMIF(Book!$G:$G,$B66,Book!O:O)</f>
        <v/>
      </c>
      <c r="J66" t="n">
        <v>0</v>
      </c>
      <c r="K66" s="4">
        <f>SUMIF('GSTR-2B'!$G:$G,$B66,'GSTR-2B'!J:J)</f>
        <v/>
      </c>
      <c r="L66" s="4">
        <f>SUMIF('GSTR-2B'!$G:$G,$B66,'GSTR-2B'!L:L)</f>
        <v/>
      </c>
      <c r="M66" s="4">
        <f>SUMIF('GSTR-2B'!$G:$G,$B66,'GSTR-2B'!M:M)</f>
        <v/>
      </c>
      <c r="N66" s="4">
        <f>SUMIF('GSTR-2B'!$G:$G,$B66,'GSTR-2B'!N:N)</f>
        <v/>
      </c>
      <c r="O66" s="4">
        <f>SUMIF('GSTR-2B'!$G:$G,$B66,'GSTR-2B'!O:O)</f>
        <v/>
      </c>
      <c r="P66" t="n">
        <v>0</v>
      </c>
      <c r="Q66" s="4">
        <f>+E66-K66</f>
        <v/>
      </c>
      <c r="R66" s="4">
        <f>+F66-L66</f>
        <v/>
      </c>
      <c r="S66" s="4">
        <f>+G66-M66</f>
        <v/>
      </c>
      <c r="T66" s="4">
        <f>+H66-N66</f>
        <v/>
      </c>
      <c r="U66" s="4">
        <f>+I66-O66</f>
        <v/>
      </c>
      <c r="V66" t="n">
        <v>0</v>
      </c>
      <c r="W66">
        <f>VLOOKUP(A66,'GST Wise Reco'!$A$4:$T$30,20,0)</f>
        <v/>
      </c>
      <c r="X66" t="inlineStr">
        <is>
          <t>Book And 2B Match</t>
        </is>
      </c>
      <c r="Y66" s="5" t="inlineStr">
        <is>
          <t>Book And 2B Match</t>
        </is>
      </c>
    </row>
    <row r="67">
      <c r="A67" t="inlineStr">
        <is>
          <t>AAECP9085D</t>
        </is>
      </c>
      <c r="B67" t="inlineStr">
        <is>
          <t>AAECP9085D_PPSPL/25-26/0011</t>
        </is>
      </c>
      <c r="D67" t="n">
        <v>0</v>
      </c>
      <c r="E67" s="4">
        <f>SUMIF(Book!$G:$G,$B67,Book!J:J)</f>
        <v/>
      </c>
      <c r="F67" s="4">
        <f>SUMIF(Book!$G:$G,$B67,Book!L:L)</f>
        <v/>
      </c>
      <c r="G67" s="4">
        <f>SUMIF(Book!$G:$G,$B67,Book!M:M)</f>
        <v/>
      </c>
      <c r="H67" s="4">
        <f>SUMIF(Book!$G:$G,$B67,Book!N:N)</f>
        <v/>
      </c>
      <c r="I67" s="4">
        <f>SUMIF(Book!$G:$G,$B67,Book!O:O)</f>
        <v/>
      </c>
      <c r="J67" t="n">
        <v>0</v>
      </c>
      <c r="K67" s="4">
        <f>SUMIF('GSTR-2B'!$G:$G,$B67,'GSTR-2B'!J:J)</f>
        <v/>
      </c>
      <c r="L67" s="4">
        <f>SUMIF('GSTR-2B'!$G:$G,$B67,'GSTR-2B'!L:L)</f>
        <v/>
      </c>
      <c r="M67" s="4">
        <f>SUMIF('GSTR-2B'!$G:$G,$B67,'GSTR-2B'!M:M)</f>
        <v/>
      </c>
      <c r="N67" s="4">
        <f>SUMIF('GSTR-2B'!$G:$G,$B67,'GSTR-2B'!N:N)</f>
        <v/>
      </c>
      <c r="O67" s="4">
        <f>SUMIF('GSTR-2B'!$G:$G,$B67,'GSTR-2B'!O:O)</f>
        <v/>
      </c>
      <c r="P67" t="n">
        <v>0</v>
      </c>
      <c r="Q67" s="4">
        <f>+E67-K67</f>
        <v/>
      </c>
      <c r="R67" s="4">
        <f>+F67-L67</f>
        <v/>
      </c>
      <c r="S67" s="4">
        <f>+G67-M67</f>
        <v/>
      </c>
      <c r="T67" s="4">
        <f>+H67-N67</f>
        <v/>
      </c>
      <c r="U67" s="4">
        <f>+I67-O67</f>
        <v/>
      </c>
      <c r="V67" t="n">
        <v>0</v>
      </c>
      <c r="W67">
        <f>VLOOKUP(A67,'GST Wise Reco'!$A$4:$T$30,20,0)</f>
        <v/>
      </c>
      <c r="X67" t="inlineStr">
        <is>
          <t>Book And 2B Match</t>
        </is>
      </c>
      <c r="Y67" s="5" t="inlineStr">
        <is>
          <t>Book And 2B Match</t>
        </is>
      </c>
    </row>
    <row r="68">
      <c r="A68" t="inlineStr">
        <is>
          <t>AAECP9085D</t>
        </is>
      </c>
      <c r="B68" t="inlineStr">
        <is>
          <t>AAECP9085D_PPSPL/25-26/0114</t>
        </is>
      </c>
      <c r="D68" t="n">
        <v>0</v>
      </c>
      <c r="E68" s="4">
        <f>SUMIF(Book!$G:$G,$B68,Book!J:J)</f>
        <v/>
      </c>
      <c r="F68" s="4">
        <f>SUMIF(Book!$G:$G,$B68,Book!L:L)</f>
        <v/>
      </c>
      <c r="G68" s="4">
        <f>SUMIF(Book!$G:$G,$B68,Book!M:M)</f>
        <v/>
      </c>
      <c r="H68" s="4">
        <f>SUMIF(Book!$G:$G,$B68,Book!N:N)</f>
        <v/>
      </c>
      <c r="I68" s="4">
        <f>SUMIF(Book!$G:$G,$B68,Book!O:O)</f>
        <v/>
      </c>
      <c r="J68" t="n">
        <v>0</v>
      </c>
      <c r="K68" s="4">
        <f>SUMIF('GSTR-2B'!$G:$G,$B68,'GSTR-2B'!J:J)</f>
        <v/>
      </c>
      <c r="L68" s="4">
        <f>SUMIF('GSTR-2B'!$G:$G,$B68,'GSTR-2B'!L:L)</f>
        <v/>
      </c>
      <c r="M68" s="4">
        <f>SUMIF('GSTR-2B'!$G:$G,$B68,'GSTR-2B'!M:M)</f>
        <v/>
      </c>
      <c r="N68" s="4">
        <f>SUMIF('GSTR-2B'!$G:$G,$B68,'GSTR-2B'!N:N)</f>
        <v/>
      </c>
      <c r="O68" s="4">
        <f>SUMIF('GSTR-2B'!$G:$G,$B68,'GSTR-2B'!O:O)</f>
        <v/>
      </c>
      <c r="P68" t="n">
        <v>0</v>
      </c>
      <c r="Q68" s="4">
        <f>+E68-K68</f>
        <v/>
      </c>
      <c r="R68" s="4">
        <f>+F68-L68</f>
        <v/>
      </c>
      <c r="S68" s="4">
        <f>+G68-M68</f>
        <v/>
      </c>
      <c r="T68" s="4">
        <f>+H68-N68</f>
        <v/>
      </c>
      <c r="U68" s="4">
        <f>+I68-O68</f>
        <v/>
      </c>
      <c r="V68" t="n">
        <v>0</v>
      </c>
      <c r="W68">
        <f>VLOOKUP(A68,'GST Wise Reco'!$A$4:$T$30,20,0)</f>
        <v/>
      </c>
      <c r="X68" t="inlineStr">
        <is>
          <t>Book And 2B Match</t>
        </is>
      </c>
      <c r="Y68" s="5" t="inlineStr">
        <is>
          <t>Book And 2B Match</t>
        </is>
      </c>
    </row>
    <row r="69">
      <c r="A69" t="inlineStr">
        <is>
          <t>AAECP9085D</t>
        </is>
      </c>
      <c r="B69" t="inlineStr">
        <is>
          <t>AAECP9085D_PPSPL/25-26/0212</t>
        </is>
      </c>
      <c r="D69" t="n">
        <v>0</v>
      </c>
      <c r="E69" s="4">
        <f>SUMIF(Book!$G:$G,$B69,Book!J:J)</f>
        <v/>
      </c>
      <c r="F69" s="4">
        <f>SUMIF(Book!$G:$G,$B69,Book!L:L)</f>
        <v/>
      </c>
      <c r="G69" s="4">
        <f>SUMIF(Book!$G:$G,$B69,Book!M:M)</f>
        <v/>
      </c>
      <c r="H69" s="4">
        <f>SUMIF(Book!$G:$G,$B69,Book!N:N)</f>
        <v/>
      </c>
      <c r="I69" s="4">
        <f>SUMIF(Book!$G:$G,$B69,Book!O:O)</f>
        <v/>
      </c>
      <c r="J69" t="n">
        <v>0</v>
      </c>
      <c r="K69" s="4">
        <f>SUMIF('GSTR-2B'!$G:$G,$B69,'GSTR-2B'!J:J)</f>
        <v/>
      </c>
      <c r="L69" s="4">
        <f>SUMIF('GSTR-2B'!$G:$G,$B69,'GSTR-2B'!L:L)</f>
        <v/>
      </c>
      <c r="M69" s="4">
        <f>SUMIF('GSTR-2B'!$G:$G,$B69,'GSTR-2B'!M:M)</f>
        <v/>
      </c>
      <c r="N69" s="4">
        <f>SUMIF('GSTR-2B'!$G:$G,$B69,'GSTR-2B'!N:N)</f>
        <v/>
      </c>
      <c r="O69" s="4">
        <f>SUMIF('GSTR-2B'!$G:$G,$B69,'GSTR-2B'!O:O)</f>
        <v/>
      </c>
      <c r="P69" t="n">
        <v>0</v>
      </c>
      <c r="Q69" s="4">
        <f>+E69-K69</f>
        <v/>
      </c>
      <c r="R69" s="4">
        <f>+F69-L69</f>
        <v/>
      </c>
      <c r="S69" s="4">
        <f>+G69-M69</f>
        <v/>
      </c>
      <c r="T69" s="4">
        <f>+H69-N69</f>
        <v/>
      </c>
      <c r="U69" s="4">
        <f>+I69-O69</f>
        <v/>
      </c>
      <c r="V69" t="n">
        <v>0</v>
      </c>
      <c r="W69">
        <f>VLOOKUP(A69,'GST Wise Reco'!$A$4:$T$30,20,0)</f>
        <v/>
      </c>
      <c r="X69" t="inlineStr">
        <is>
          <t>Book And 2B Match</t>
        </is>
      </c>
      <c r="Y69" s="5" t="inlineStr">
        <is>
          <t>Book And 2B Match</t>
        </is>
      </c>
    </row>
    <row r="70">
      <c r="A70" t="inlineStr">
        <is>
          <t>AAECP9085D</t>
        </is>
      </c>
      <c r="B70" t="inlineStr">
        <is>
          <t>AAECP9085D_PPSPL/25-26/0357</t>
        </is>
      </c>
      <c r="D70" t="n">
        <v>0</v>
      </c>
      <c r="E70" s="4">
        <f>SUMIF(Book!$G:$G,$B70,Book!J:J)</f>
        <v/>
      </c>
      <c r="F70" s="4">
        <f>SUMIF(Book!$G:$G,$B70,Book!L:L)</f>
        <v/>
      </c>
      <c r="G70" s="4">
        <f>SUMIF(Book!$G:$G,$B70,Book!M:M)</f>
        <v/>
      </c>
      <c r="H70" s="4">
        <f>SUMIF(Book!$G:$G,$B70,Book!N:N)</f>
        <v/>
      </c>
      <c r="I70" s="4">
        <f>SUMIF(Book!$G:$G,$B70,Book!O:O)</f>
        <v/>
      </c>
      <c r="J70" t="n">
        <v>0</v>
      </c>
      <c r="K70" s="4">
        <f>SUMIF('GSTR-2B'!$G:$G,$B70,'GSTR-2B'!J:J)</f>
        <v/>
      </c>
      <c r="L70" s="4">
        <f>SUMIF('GSTR-2B'!$G:$G,$B70,'GSTR-2B'!L:L)</f>
        <v/>
      </c>
      <c r="M70" s="4">
        <f>SUMIF('GSTR-2B'!$G:$G,$B70,'GSTR-2B'!M:M)</f>
        <v/>
      </c>
      <c r="N70" s="4">
        <f>SUMIF('GSTR-2B'!$G:$G,$B70,'GSTR-2B'!N:N)</f>
        <v/>
      </c>
      <c r="O70" s="4">
        <f>SUMIF('GSTR-2B'!$G:$G,$B70,'GSTR-2B'!O:O)</f>
        <v/>
      </c>
      <c r="P70" t="n">
        <v>0</v>
      </c>
      <c r="Q70" s="4">
        <f>+E70-K70</f>
        <v/>
      </c>
      <c r="R70" s="4">
        <f>+F70-L70</f>
        <v/>
      </c>
      <c r="S70" s="4">
        <f>+G70-M70</f>
        <v/>
      </c>
      <c r="T70" s="4">
        <f>+H70-N70</f>
        <v/>
      </c>
      <c r="U70" s="4">
        <f>+I70-O70</f>
        <v/>
      </c>
      <c r="V70" t="n">
        <v>0</v>
      </c>
      <c r="W70">
        <f>VLOOKUP(A70,'GST Wise Reco'!$A$4:$T$30,20,0)</f>
        <v/>
      </c>
      <c r="X70" t="inlineStr">
        <is>
          <t>Book And 2B Match</t>
        </is>
      </c>
      <c r="Y70" s="5" t="inlineStr">
        <is>
          <t>Book And 2B Match</t>
        </is>
      </c>
    </row>
    <row r="71">
      <c r="A71" t="inlineStr">
        <is>
          <t>AAECP9085D</t>
        </is>
      </c>
      <c r="B71" t="inlineStr">
        <is>
          <t>AAECP9085D_PPSPL/25-26/0415</t>
        </is>
      </c>
      <c r="D71" t="n">
        <v>0</v>
      </c>
      <c r="E71" s="4">
        <f>SUMIF(Book!$G:$G,$B71,Book!J:J)</f>
        <v/>
      </c>
      <c r="F71" s="4">
        <f>SUMIF(Book!$G:$G,$B71,Book!L:L)</f>
        <v/>
      </c>
      <c r="G71" s="4">
        <f>SUMIF(Book!$G:$G,$B71,Book!M:M)</f>
        <v/>
      </c>
      <c r="H71" s="4">
        <f>SUMIF(Book!$G:$G,$B71,Book!N:N)</f>
        <v/>
      </c>
      <c r="I71" s="4">
        <f>SUMIF(Book!$G:$G,$B71,Book!O:O)</f>
        <v/>
      </c>
      <c r="J71" t="n">
        <v>0</v>
      </c>
      <c r="K71" s="4">
        <f>SUMIF('GSTR-2B'!$G:$G,$B71,'GSTR-2B'!J:J)</f>
        <v/>
      </c>
      <c r="L71" s="4">
        <f>SUMIF('GSTR-2B'!$G:$G,$B71,'GSTR-2B'!L:L)</f>
        <v/>
      </c>
      <c r="M71" s="4">
        <f>SUMIF('GSTR-2B'!$G:$G,$B71,'GSTR-2B'!M:M)</f>
        <v/>
      </c>
      <c r="N71" s="4">
        <f>SUMIF('GSTR-2B'!$G:$G,$B71,'GSTR-2B'!N:N)</f>
        <v/>
      </c>
      <c r="O71" s="4">
        <f>SUMIF('GSTR-2B'!$G:$G,$B71,'GSTR-2B'!O:O)</f>
        <v/>
      </c>
      <c r="P71" t="n">
        <v>0</v>
      </c>
      <c r="Q71" s="4">
        <f>+E71-K71</f>
        <v/>
      </c>
      <c r="R71" s="4">
        <f>+F71-L71</f>
        <v/>
      </c>
      <c r="S71" s="4">
        <f>+G71-M71</f>
        <v/>
      </c>
      <c r="T71" s="4">
        <f>+H71-N71</f>
        <v/>
      </c>
      <c r="U71" s="4">
        <f>+I71-O71</f>
        <v/>
      </c>
      <c r="V71" t="n">
        <v>0</v>
      </c>
      <c r="W71">
        <f>VLOOKUP(A71,'GST Wise Reco'!$A$4:$T$30,20,0)</f>
        <v/>
      </c>
      <c r="X71" t="inlineStr">
        <is>
          <t>Book And 2B Match</t>
        </is>
      </c>
      <c r="Y71" s="5" t="inlineStr">
        <is>
          <t>Book And 2B Match</t>
        </is>
      </c>
    </row>
    <row r="72">
      <c r="A72" t="inlineStr">
        <is>
          <t>AAECP9085D</t>
        </is>
      </c>
      <c r="B72" t="inlineStr">
        <is>
          <t>AAECP9085D_PPSPL/25-26/0951</t>
        </is>
      </c>
      <c r="D72" t="n">
        <v>0</v>
      </c>
      <c r="E72" s="4">
        <f>SUMIF(Book!$G:$G,$B72,Book!J:J)</f>
        <v/>
      </c>
      <c r="F72" s="4">
        <f>SUMIF(Book!$G:$G,$B72,Book!L:L)</f>
        <v/>
      </c>
      <c r="G72" s="4">
        <f>SUMIF(Book!$G:$G,$B72,Book!M:M)</f>
        <v/>
      </c>
      <c r="H72" s="4">
        <f>SUMIF(Book!$G:$G,$B72,Book!N:N)</f>
        <v/>
      </c>
      <c r="I72" s="4">
        <f>SUMIF(Book!$G:$G,$B72,Book!O:O)</f>
        <v/>
      </c>
      <c r="J72" t="n">
        <v>0</v>
      </c>
      <c r="K72" s="4">
        <f>SUMIF('GSTR-2B'!$G:$G,$B72,'GSTR-2B'!J:J)</f>
        <v/>
      </c>
      <c r="L72" s="4">
        <f>SUMIF('GSTR-2B'!$G:$G,$B72,'GSTR-2B'!L:L)</f>
        <v/>
      </c>
      <c r="M72" s="4">
        <f>SUMIF('GSTR-2B'!$G:$G,$B72,'GSTR-2B'!M:M)</f>
        <v/>
      </c>
      <c r="N72" s="4">
        <f>SUMIF('GSTR-2B'!$G:$G,$B72,'GSTR-2B'!N:N)</f>
        <v/>
      </c>
      <c r="O72" s="4">
        <f>SUMIF('GSTR-2B'!$G:$G,$B72,'GSTR-2B'!O:O)</f>
        <v/>
      </c>
      <c r="P72" t="n">
        <v>0</v>
      </c>
      <c r="Q72" s="4">
        <f>+E72-K72</f>
        <v/>
      </c>
      <c r="R72" s="4">
        <f>+F72-L72</f>
        <v/>
      </c>
      <c r="S72" s="4">
        <f>+G72-M72</f>
        <v/>
      </c>
      <c r="T72" s="4">
        <f>+H72-N72</f>
        <v/>
      </c>
      <c r="U72" s="4">
        <f>+I72-O72</f>
        <v/>
      </c>
      <c r="V72" t="n">
        <v>0</v>
      </c>
      <c r="W72">
        <f>VLOOKUP(A72,'GST Wise Reco'!$A$4:$T$30,20,0)</f>
        <v/>
      </c>
      <c r="X72" t="inlineStr">
        <is>
          <t>Book And 2B Match</t>
        </is>
      </c>
      <c r="Y72" s="5" t="inlineStr">
        <is>
          <t>Book And 2B Match</t>
        </is>
      </c>
    </row>
    <row r="73">
      <c r="A73" t="inlineStr">
        <is>
          <t>AAECP9085D</t>
        </is>
      </c>
      <c r="B73" t="inlineStr">
        <is>
          <t>AAECP9085D_PPSPL/25-26/1019</t>
        </is>
      </c>
      <c r="D73" t="n">
        <v>0</v>
      </c>
      <c r="E73" s="4">
        <f>SUMIF(Book!$G:$G,$B73,Book!J:J)</f>
        <v/>
      </c>
      <c r="F73" s="4">
        <f>SUMIF(Book!$G:$G,$B73,Book!L:L)</f>
        <v/>
      </c>
      <c r="G73" s="4">
        <f>SUMIF(Book!$G:$G,$B73,Book!M:M)</f>
        <v/>
      </c>
      <c r="H73" s="4">
        <f>SUMIF(Book!$G:$G,$B73,Book!N:N)</f>
        <v/>
      </c>
      <c r="I73" s="4">
        <f>SUMIF(Book!$G:$G,$B73,Book!O:O)</f>
        <v/>
      </c>
      <c r="J73" t="n">
        <v>0</v>
      </c>
      <c r="K73" s="4">
        <f>SUMIF('GSTR-2B'!$G:$G,$B73,'GSTR-2B'!J:J)</f>
        <v/>
      </c>
      <c r="L73" s="4">
        <f>SUMIF('GSTR-2B'!$G:$G,$B73,'GSTR-2B'!L:L)</f>
        <v/>
      </c>
      <c r="M73" s="4">
        <f>SUMIF('GSTR-2B'!$G:$G,$B73,'GSTR-2B'!M:M)</f>
        <v/>
      </c>
      <c r="N73" s="4">
        <f>SUMIF('GSTR-2B'!$G:$G,$B73,'GSTR-2B'!N:N)</f>
        <v/>
      </c>
      <c r="O73" s="4">
        <f>SUMIF('GSTR-2B'!$G:$G,$B73,'GSTR-2B'!O:O)</f>
        <v/>
      </c>
      <c r="P73" t="n">
        <v>0</v>
      </c>
      <c r="Q73" s="4">
        <f>+E73-K73</f>
        <v/>
      </c>
      <c r="R73" s="4">
        <f>+F73-L73</f>
        <v/>
      </c>
      <c r="S73" s="4">
        <f>+G73-M73</f>
        <v/>
      </c>
      <c r="T73" s="4">
        <f>+H73-N73</f>
        <v/>
      </c>
      <c r="U73" s="4">
        <f>+I73-O73</f>
        <v/>
      </c>
      <c r="V73" t="n">
        <v>0</v>
      </c>
      <c r="W73">
        <f>VLOOKUP(A73,'GST Wise Reco'!$A$4:$T$30,20,0)</f>
        <v/>
      </c>
      <c r="X73" t="inlineStr">
        <is>
          <t>Book And 2B Match</t>
        </is>
      </c>
      <c r="Y73" s="5" t="inlineStr">
        <is>
          <t>Book And 2B Match</t>
        </is>
      </c>
    </row>
    <row r="74">
      <c r="A74" t="inlineStr">
        <is>
          <t>AAECP9085D</t>
        </is>
      </c>
      <c r="B74" t="inlineStr">
        <is>
          <t>AAECP9085D_PPSPL/25-26/1119</t>
        </is>
      </c>
      <c r="D74" t="n">
        <v>0</v>
      </c>
      <c r="E74" s="4">
        <f>SUMIF(Book!$G:$G,$B74,Book!J:J)</f>
        <v/>
      </c>
      <c r="F74" s="4">
        <f>SUMIF(Book!$G:$G,$B74,Book!L:L)</f>
        <v/>
      </c>
      <c r="G74" s="4">
        <f>SUMIF(Book!$G:$G,$B74,Book!M:M)</f>
        <v/>
      </c>
      <c r="H74" s="4">
        <f>SUMIF(Book!$G:$G,$B74,Book!N:N)</f>
        <v/>
      </c>
      <c r="I74" s="4">
        <f>SUMIF(Book!$G:$G,$B74,Book!O:O)</f>
        <v/>
      </c>
      <c r="J74" t="n">
        <v>0</v>
      </c>
      <c r="K74" s="4">
        <f>SUMIF('GSTR-2B'!$G:$G,$B74,'GSTR-2B'!J:J)</f>
        <v/>
      </c>
      <c r="L74" s="4">
        <f>SUMIF('GSTR-2B'!$G:$G,$B74,'GSTR-2B'!L:L)</f>
        <v/>
      </c>
      <c r="M74" s="4">
        <f>SUMIF('GSTR-2B'!$G:$G,$B74,'GSTR-2B'!M:M)</f>
        <v/>
      </c>
      <c r="N74" s="4">
        <f>SUMIF('GSTR-2B'!$G:$G,$B74,'GSTR-2B'!N:N)</f>
        <v/>
      </c>
      <c r="O74" s="4">
        <f>SUMIF('GSTR-2B'!$G:$G,$B74,'GSTR-2B'!O:O)</f>
        <v/>
      </c>
      <c r="P74" t="n">
        <v>0</v>
      </c>
      <c r="Q74" s="4">
        <f>+E74-K74</f>
        <v/>
      </c>
      <c r="R74" s="4">
        <f>+F74-L74</f>
        <v/>
      </c>
      <c r="S74" s="4">
        <f>+G74-M74</f>
        <v/>
      </c>
      <c r="T74" s="4">
        <f>+H74-N74</f>
        <v/>
      </c>
      <c r="U74" s="4">
        <f>+I74-O74</f>
        <v/>
      </c>
      <c r="V74" t="n">
        <v>0</v>
      </c>
      <c r="W74">
        <f>VLOOKUP(A74,'GST Wise Reco'!$A$4:$T$30,20,0)</f>
        <v/>
      </c>
      <c r="X74" t="inlineStr">
        <is>
          <t>Book And 2B Match</t>
        </is>
      </c>
      <c r="Y74" s="5" t="inlineStr">
        <is>
          <t>Book And 2B Match</t>
        </is>
      </c>
    </row>
    <row r="75">
      <c r="A75" t="inlineStr">
        <is>
          <t>AAECR8945A</t>
        </is>
      </c>
      <c r="B75" t="inlineStr">
        <is>
          <t>AAECR8945A_SH/APR-25/275</t>
        </is>
      </c>
      <c r="D75" t="n">
        <v>0</v>
      </c>
      <c r="E75" s="4">
        <f>SUMIF(Book!$G:$G,$B75,Book!J:J)</f>
        <v/>
      </c>
      <c r="F75" s="4">
        <f>SUMIF(Book!$G:$G,$B75,Book!L:L)</f>
        <v/>
      </c>
      <c r="G75" s="4">
        <f>SUMIF(Book!$G:$G,$B75,Book!M:M)</f>
        <v/>
      </c>
      <c r="H75" s="4">
        <f>SUMIF(Book!$G:$G,$B75,Book!N:N)</f>
        <v/>
      </c>
      <c r="I75" s="4">
        <f>SUMIF(Book!$G:$G,$B75,Book!O:O)</f>
        <v/>
      </c>
      <c r="J75" t="n">
        <v>0</v>
      </c>
      <c r="K75" s="4">
        <f>SUMIF('GSTR-2B'!$G:$G,$B75,'GSTR-2B'!J:J)</f>
        <v/>
      </c>
      <c r="L75" s="4">
        <f>SUMIF('GSTR-2B'!$G:$G,$B75,'GSTR-2B'!L:L)</f>
        <v/>
      </c>
      <c r="M75" s="4">
        <f>SUMIF('GSTR-2B'!$G:$G,$B75,'GSTR-2B'!M:M)</f>
        <v/>
      </c>
      <c r="N75" s="4">
        <f>SUMIF('GSTR-2B'!$G:$G,$B75,'GSTR-2B'!N:N)</f>
        <v/>
      </c>
      <c r="O75" s="4">
        <f>SUMIF('GSTR-2B'!$G:$G,$B75,'GSTR-2B'!O:O)</f>
        <v/>
      </c>
      <c r="P75" t="n">
        <v>0</v>
      </c>
      <c r="Q75" s="4">
        <f>+E75-K75</f>
        <v/>
      </c>
      <c r="R75" s="4">
        <f>+F75-L75</f>
        <v/>
      </c>
      <c r="S75" s="4">
        <f>+G75-M75</f>
        <v/>
      </c>
      <c r="T75" s="4">
        <f>+H75-N75</f>
        <v/>
      </c>
      <c r="U75" s="4">
        <f>+I75-O75</f>
        <v/>
      </c>
      <c r="V75" t="n">
        <v>0</v>
      </c>
      <c r="W75">
        <f>VLOOKUP(A75,'GST Wise Reco'!$A$4:$T$30,20,0)</f>
        <v/>
      </c>
      <c r="X75" t="inlineStr">
        <is>
          <t>Book And 2B Match-Invocies No Mis-Match</t>
        </is>
      </c>
      <c r="Y75" s="5" t="inlineStr">
        <is>
          <t>Book And 2B Match</t>
        </is>
      </c>
    </row>
    <row r="76">
      <c r="A76" t="inlineStr">
        <is>
          <t>AAECR8945A</t>
        </is>
      </c>
      <c r="B76" t="inlineStr">
        <is>
          <t>AAECR8945A_SH/APR‐25/136</t>
        </is>
      </c>
      <c r="D76" t="n">
        <v>0</v>
      </c>
      <c r="E76" s="4">
        <f>SUMIF(Book!$G:$G,$B76,Book!J:J)</f>
        <v/>
      </c>
      <c r="F76" s="4">
        <f>SUMIF(Book!$G:$G,$B76,Book!L:L)</f>
        <v/>
      </c>
      <c r="G76" s="4">
        <f>SUMIF(Book!$G:$G,$B76,Book!M:M)</f>
        <v/>
      </c>
      <c r="H76" s="4">
        <f>SUMIF(Book!$G:$G,$B76,Book!N:N)</f>
        <v/>
      </c>
      <c r="I76" s="4">
        <f>SUMIF(Book!$G:$G,$B76,Book!O:O)</f>
        <v/>
      </c>
      <c r="J76" t="n">
        <v>0</v>
      </c>
      <c r="K76" s="4">
        <f>SUMIF('GSTR-2B'!$G:$G,$B76,'GSTR-2B'!J:J)</f>
        <v/>
      </c>
      <c r="L76" s="4">
        <f>SUMIF('GSTR-2B'!$G:$G,$B76,'GSTR-2B'!L:L)</f>
        <v/>
      </c>
      <c r="M76" s="4">
        <f>SUMIF('GSTR-2B'!$G:$G,$B76,'GSTR-2B'!M:M)</f>
        <v/>
      </c>
      <c r="N76" s="4">
        <f>SUMIF('GSTR-2B'!$G:$G,$B76,'GSTR-2B'!N:N)</f>
        <v/>
      </c>
      <c r="O76" s="4">
        <f>SUMIF('GSTR-2B'!$G:$G,$B76,'GSTR-2B'!O:O)</f>
        <v/>
      </c>
      <c r="P76" t="n">
        <v>0</v>
      </c>
      <c r="Q76" s="4">
        <f>+E76-K76</f>
        <v/>
      </c>
      <c r="R76" s="4">
        <f>+F76-L76</f>
        <v/>
      </c>
      <c r="S76" s="4">
        <f>+G76-M76</f>
        <v/>
      </c>
      <c r="T76" s="4">
        <f>+H76-N76</f>
        <v/>
      </c>
      <c r="U76" s="4">
        <f>+I76-O76</f>
        <v/>
      </c>
      <c r="V76" t="n">
        <v>0</v>
      </c>
      <c r="W76">
        <f>VLOOKUP(A76,'GST Wise Reco'!$A$4:$T$30,20,0)</f>
        <v/>
      </c>
      <c r="X76" t="inlineStr">
        <is>
          <t>Book And 2B Match-Invocies No Mis-Match</t>
        </is>
      </c>
      <c r="Y76" s="5" t="inlineStr">
        <is>
          <t>Book And 2B Match</t>
        </is>
      </c>
    </row>
    <row r="77">
      <c r="A77" t="inlineStr">
        <is>
          <t>AAECR8945A</t>
        </is>
      </c>
      <c r="B77" t="inlineStr">
        <is>
          <t>AAECR8945A_SH/MAY-25/171</t>
        </is>
      </c>
      <c r="D77" t="n">
        <v>0</v>
      </c>
      <c r="E77" s="4">
        <f>SUMIF(Book!$G:$G,$B77,Book!J:J)</f>
        <v/>
      </c>
      <c r="F77" s="4">
        <f>SUMIF(Book!$G:$G,$B77,Book!L:L)</f>
        <v/>
      </c>
      <c r="G77" s="4">
        <f>SUMIF(Book!$G:$G,$B77,Book!M:M)</f>
        <v/>
      </c>
      <c r="H77" s="4">
        <f>SUMIF(Book!$G:$G,$B77,Book!N:N)</f>
        <v/>
      </c>
      <c r="I77" s="4">
        <f>SUMIF(Book!$G:$G,$B77,Book!O:O)</f>
        <v/>
      </c>
      <c r="J77" t="n">
        <v>0</v>
      </c>
      <c r="K77" s="4">
        <f>SUMIF('GSTR-2B'!$G:$G,$B77,'GSTR-2B'!J:J)</f>
        <v/>
      </c>
      <c r="L77" s="4">
        <f>SUMIF('GSTR-2B'!$G:$G,$B77,'GSTR-2B'!L:L)</f>
        <v/>
      </c>
      <c r="M77" s="4">
        <f>SUMIF('GSTR-2B'!$G:$G,$B77,'GSTR-2B'!M:M)</f>
        <v/>
      </c>
      <c r="N77" s="4">
        <f>SUMIF('GSTR-2B'!$G:$G,$B77,'GSTR-2B'!N:N)</f>
        <v/>
      </c>
      <c r="O77" s="4">
        <f>SUMIF('GSTR-2B'!$G:$G,$B77,'GSTR-2B'!O:O)</f>
        <v/>
      </c>
      <c r="P77" t="n">
        <v>0</v>
      </c>
      <c r="Q77" s="4">
        <f>+E77-K77</f>
        <v/>
      </c>
      <c r="R77" s="4">
        <f>+F77-L77</f>
        <v/>
      </c>
      <c r="S77" s="4">
        <f>+G77-M77</f>
        <v/>
      </c>
      <c r="T77" s="4">
        <f>+H77-N77</f>
        <v/>
      </c>
      <c r="U77" s="4">
        <f>+I77-O77</f>
        <v/>
      </c>
      <c r="V77" t="n">
        <v>0</v>
      </c>
      <c r="W77">
        <f>VLOOKUP(A77,'GST Wise Reco'!$A$4:$T$30,20,0)</f>
        <v/>
      </c>
      <c r="X77" t="inlineStr">
        <is>
          <t>Book And 2B Match-Invocies No Mis-Match</t>
        </is>
      </c>
      <c r="Y77" s="5" t="inlineStr">
        <is>
          <t>Book And 2B Match</t>
        </is>
      </c>
    </row>
    <row r="78">
      <c r="A78" t="inlineStr">
        <is>
          <t>AAECR8945A</t>
        </is>
      </c>
      <c r="B78" t="inlineStr">
        <is>
          <t>AAECR8945A_SH/MAY-25/45</t>
        </is>
      </c>
      <c r="D78" t="n">
        <v>0</v>
      </c>
      <c r="E78" s="4">
        <f>SUMIF(Book!$G:$G,$B78,Book!J:J)</f>
        <v/>
      </c>
      <c r="F78" s="4">
        <f>SUMIF(Book!$G:$G,$B78,Book!L:L)</f>
        <v/>
      </c>
      <c r="G78" s="4">
        <f>SUMIF(Book!$G:$G,$B78,Book!M:M)</f>
        <v/>
      </c>
      <c r="H78" s="4">
        <f>SUMIF(Book!$G:$G,$B78,Book!N:N)</f>
        <v/>
      </c>
      <c r="I78" s="4">
        <f>SUMIF(Book!$G:$G,$B78,Book!O:O)</f>
        <v/>
      </c>
      <c r="J78" t="n">
        <v>0</v>
      </c>
      <c r="K78" s="4">
        <f>SUMIF('GSTR-2B'!$G:$G,$B78,'GSTR-2B'!J:J)</f>
        <v/>
      </c>
      <c r="L78" s="4">
        <f>SUMIF('GSTR-2B'!$G:$G,$B78,'GSTR-2B'!L:L)</f>
        <v/>
      </c>
      <c r="M78" s="4">
        <f>SUMIF('GSTR-2B'!$G:$G,$B78,'GSTR-2B'!M:M)</f>
        <v/>
      </c>
      <c r="N78" s="4">
        <f>SUMIF('GSTR-2B'!$G:$G,$B78,'GSTR-2B'!N:N)</f>
        <v/>
      </c>
      <c r="O78" s="4">
        <f>SUMIF('GSTR-2B'!$G:$G,$B78,'GSTR-2B'!O:O)</f>
        <v/>
      </c>
      <c r="P78" t="n">
        <v>0</v>
      </c>
      <c r="Q78" s="4">
        <f>+E78-K78</f>
        <v/>
      </c>
      <c r="R78" s="4">
        <f>+F78-L78</f>
        <v/>
      </c>
      <c r="S78" s="4">
        <f>+G78-M78</f>
        <v/>
      </c>
      <c r="T78" s="4">
        <f>+H78-N78</f>
        <v/>
      </c>
      <c r="U78" s="4">
        <f>+I78-O78</f>
        <v/>
      </c>
      <c r="V78" t="n">
        <v>0</v>
      </c>
      <c r="W78">
        <f>VLOOKUP(A78,'GST Wise Reco'!$A$4:$T$30,20,0)</f>
        <v/>
      </c>
      <c r="X78" t="inlineStr">
        <is>
          <t>Book And 2B Match-Invocies No Mis-Match</t>
        </is>
      </c>
      <c r="Y78" s="5" t="inlineStr">
        <is>
          <t>Book And 2B Match</t>
        </is>
      </c>
    </row>
    <row r="79">
      <c r="A79" t="inlineStr">
        <is>
          <t>AAECR8945A</t>
        </is>
      </c>
      <c r="B79" t="inlineStr">
        <is>
          <t>AAECR8945A_SH/MAY-25/53</t>
        </is>
      </c>
      <c r="D79" t="n">
        <v>0</v>
      </c>
      <c r="E79" s="4">
        <f>SUMIF(Book!$G:$G,$B79,Book!J:J)</f>
        <v/>
      </c>
      <c r="F79" s="4">
        <f>SUMIF(Book!$G:$G,$B79,Book!L:L)</f>
        <v/>
      </c>
      <c r="G79" s="4">
        <f>SUMIF(Book!$G:$G,$B79,Book!M:M)</f>
        <v/>
      </c>
      <c r="H79" s="4">
        <f>SUMIF(Book!$G:$G,$B79,Book!N:N)</f>
        <v/>
      </c>
      <c r="I79" s="4">
        <f>SUMIF(Book!$G:$G,$B79,Book!O:O)</f>
        <v/>
      </c>
      <c r="J79" t="n">
        <v>0</v>
      </c>
      <c r="K79" s="4">
        <f>SUMIF('GSTR-2B'!$G:$G,$B79,'GSTR-2B'!J:J)</f>
        <v/>
      </c>
      <c r="L79" s="4">
        <f>SUMIF('GSTR-2B'!$G:$G,$B79,'GSTR-2B'!L:L)</f>
        <v/>
      </c>
      <c r="M79" s="4">
        <f>SUMIF('GSTR-2B'!$G:$G,$B79,'GSTR-2B'!M:M)</f>
        <v/>
      </c>
      <c r="N79" s="4">
        <f>SUMIF('GSTR-2B'!$G:$G,$B79,'GSTR-2B'!N:N)</f>
        <v/>
      </c>
      <c r="O79" s="4">
        <f>SUMIF('GSTR-2B'!$G:$G,$B79,'GSTR-2B'!O:O)</f>
        <v/>
      </c>
      <c r="P79" t="n">
        <v>0</v>
      </c>
      <c r="Q79" s="4">
        <f>+E79-K79</f>
        <v/>
      </c>
      <c r="R79" s="4">
        <f>+F79-L79</f>
        <v/>
      </c>
      <c r="S79" s="4">
        <f>+G79-M79</f>
        <v/>
      </c>
      <c r="T79" s="4">
        <f>+H79-N79</f>
        <v/>
      </c>
      <c r="U79" s="4">
        <f>+I79-O79</f>
        <v/>
      </c>
      <c r="V79" t="n">
        <v>0</v>
      </c>
      <c r="W79">
        <f>VLOOKUP(A79,'GST Wise Reco'!$A$4:$T$30,20,0)</f>
        <v/>
      </c>
      <c r="X79" t="inlineStr">
        <is>
          <t>Book And 2B Match-Invocies No Mis-Match</t>
        </is>
      </c>
      <c r="Y79" s="5" t="inlineStr">
        <is>
          <t>Book And 2B Match</t>
        </is>
      </c>
    </row>
    <row r="80">
      <c r="A80" t="inlineStr">
        <is>
          <t>AAECR8945A</t>
        </is>
      </c>
      <c r="B80" t="inlineStr">
        <is>
          <t>AAECR8945A_SH/MAY‐25/171</t>
        </is>
      </c>
      <c r="D80" t="n">
        <v>0</v>
      </c>
      <c r="E80" s="4">
        <f>SUMIF(Book!$G:$G,$B80,Book!J:J)</f>
        <v/>
      </c>
      <c r="F80" s="4">
        <f>SUMIF(Book!$G:$G,$B80,Book!L:L)</f>
        <v/>
      </c>
      <c r="G80" s="4">
        <f>SUMIF(Book!$G:$G,$B80,Book!M:M)</f>
        <v/>
      </c>
      <c r="H80" s="4">
        <f>SUMIF(Book!$G:$G,$B80,Book!N:N)</f>
        <v/>
      </c>
      <c r="I80" s="4">
        <f>SUMIF(Book!$G:$G,$B80,Book!O:O)</f>
        <v/>
      </c>
      <c r="J80" t="n">
        <v>0</v>
      </c>
      <c r="K80" s="4">
        <f>SUMIF('GSTR-2B'!$G:$G,$B80,'GSTR-2B'!J:J)</f>
        <v/>
      </c>
      <c r="L80" s="4">
        <f>SUMIF('GSTR-2B'!$G:$G,$B80,'GSTR-2B'!L:L)</f>
        <v/>
      </c>
      <c r="M80" s="4">
        <f>SUMIF('GSTR-2B'!$G:$G,$B80,'GSTR-2B'!M:M)</f>
        <v/>
      </c>
      <c r="N80" s="4">
        <f>SUMIF('GSTR-2B'!$G:$G,$B80,'GSTR-2B'!N:N)</f>
        <v/>
      </c>
      <c r="O80" s="4">
        <f>SUMIF('GSTR-2B'!$G:$G,$B80,'GSTR-2B'!O:O)</f>
        <v/>
      </c>
      <c r="P80" t="n">
        <v>0</v>
      </c>
      <c r="Q80" s="4">
        <f>+E80-K80</f>
        <v/>
      </c>
      <c r="R80" s="4">
        <f>+F80-L80</f>
        <v/>
      </c>
      <c r="S80" s="4">
        <f>+G80-M80</f>
        <v/>
      </c>
      <c r="T80" s="4">
        <f>+H80-N80</f>
        <v/>
      </c>
      <c r="U80" s="4">
        <f>+I80-O80</f>
        <v/>
      </c>
      <c r="V80" t="n">
        <v>0</v>
      </c>
      <c r="W80">
        <f>VLOOKUP(A80,'GST Wise Reco'!$A$4:$T$30,20,0)</f>
        <v/>
      </c>
      <c r="X80" t="inlineStr">
        <is>
          <t>Book And 2B Match-Invocies No Mis-Match</t>
        </is>
      </c>
      <c r="Y80" s="5" t="inlineStr">
        <is>
          <t>Book And 2B Match</t>
        </is>
      </c>
    </row>
    <row r="81">
      <c r="A81" t="inlineStr">
        <is>
          <t>AAECR8945A</t>
        </is>
      </c>
      <c r="B81" t="inlineStr">
        <is>
          <t>AAECR8945A_SH/MAY‐25/45</t>
        </is>
      </c>
      <c r="D81" t="n">
        <v>0</v>
      </c>
      <c r="E81" s="4">
        <f>SUMIF(Book!$G:$G,$B81,Book!J:J)</f>
        <v/>
      </c>
      <c r="F81" s="4">
        <f>SUMIF(Book!$G:$G,$B81,Book!L:L)</f>
        <v/>
      </c>
      <c r="G81" s="4">
        <f>SUMIF(Book!$G:$G,$B81,Book!M:M)</f>
        <v/>
      </c>
      <c r="H81" s="4">
        <f>SUMIF(Book!$G:$G,$B81,Book!N:N)</f>
        <v/>
      </c>
      <c r="I81" s="4">
        <f>SUMIF(Book!$G:$G,$B81,Book!O:O)</f>
        <v/>
      </c>
      <c r="J81" t="n">
        <v>0</v>
      </c>
      <c r="K81" s="4">
        <f>SUMIF('GSTR-2B'!$G:$G,$B81,'GSTR-2B'!J:J)</f>
        <v/>
      </c>
      <c r="L81" s="4">
        <f>SUMIF('GSTR-2B'!$G:$G,$B81,'GSTR-2B'!L:L)</f>
        <v/>
      </c>
      <c r="M81" s="4">
        <f>SUMIF('GSTR-2B'!$G:$G,$B81,'GSTR-2B'!M:M)</f>
        <v/>
      </c>
      <c r="N81" s="4">
        <f>SUMIF('GSTR-2B'!$G:$G,$B81,'GSTR-2B'!N:N)</f>
        <v/>
      </c>
      <c r="O81" s="4">
        <f>SUMIF('GSTR-2B'!$G:$G,$B81,'GSTR-2B'!O:O)</f>
        <v/>
      </c>
      <c r="P81" t="n">
        <v>0</v>
      </c>
      <c r="Q81" s="4">
        <f>+E81-K81</f>
        <v/>
      </c>
      <c r="R81" s="4">
        <f>+F81-L81</f>
        <v/>
      </c>
      <c r="S81" s="4">
        <f>+G81-M81</f>
        <v/>
      </c>
      <c r="T81" s="4">
        <f>+H81-N81</f>
        <v/>
      </c>
      <c r="U81" s="4">
        <f>+I81-O81</f>
        <v/>
      </c>
      <c r="V81" t="n">
        <v>0</v>
      </c>
      <c r="W81">
        <f>VLOOKUP(A81,'GST Wise Reco'!$A$4:$T$30,20,0)</f>
        <v/>
      </c>
      <c r="X81" t="inlineStr">
        <is>
          <t>Book And 2B Match-Invocies No Mis-Match</t>
        </is>
      </c>
      <c r="Y81" s="5" t="inlineStr">
        <is>
          <t>Book And 2B Match</t>
        </is>
      </c>
    </row>
    <row r="82">
      <c r="A82" t="inlineStr">
        <is>
          <t>AAECR8945A</t>
        </is>
      </c>
      <c r="B82" t="inlineStr">
        <is>
          <t>AAECR8945A_SH/MAY‐25/53</t>
        </is>
      </c>
      <c r="D82" t="n">
        <v>0</v>
      </c>
      <c r="E82" s="4">
        <f>SUMIF(Book!$G:$G,$B82,Book!J:J)</f>
        <v/>
      </c>
      <c r="F82" s="4">
        <f>SUMIF(Book!$G:$G,$B82,Book!L:L)</f>
        <v/>
      </c>
      <c r="G82" s="4">
        <f>SUMIF(Book!$G:$G,$B82,Book!M:M)</f>
        <v/>
      </c>
      <c r="H82" s="4">
        <f>SUMIF(Book!$G:$G,$B82,Book!N:N)</f>
        <v/>
      </c>
      <c r="I82" s="4">
        <f>SUMIF(Book!$G:$G,$B82,Book!O:O)</f>
        <v/>
      </c>
      <c r="J82" t="n">
        <v>0</v>
      </c>
      <c r="K82" s="4">
        <f>SUMIF('GSTR-2B'!$G:$G,$B82,'GSTR-2B'!J:J)</f>
        <v/>
      </c>
      <c r="L82" s="4">
        <f>SUMIF('GSTR-2B'!$G:$G,$B82,'GSTR-2B'!L:L)</f>
        <v/>
      </c>
      <c r="M82" s="4">
        <f>SUMIF('GSTR-2B'!$G:$G,$B82,'GSTR-2B'!M:M)</f>
        <v/>
      </c>
      <c r="N82" s="4">
        <f>SUMIF('GSTR-2B'!$G:$G,$B82,'GSTR-2B'!N:N)</f>
        <v/>
      </c>
      <c r="O82" s="4">
        <f>SUMIF('GSTR-2B'!$G:$G,$B82,'GSTR-2B'!O:O)</f>
        <v/>
      </c>
      <c r="P82" t="n">
        <v>0</v>
      </c>
      <c r="Q82" s="4">
        <f>+E82-K82</f>
        <v/>
      </c>
      <c r="R82" s="4">
        <f>+F82-L82</f>
        <v/>
      </c>
      <c r="S82" s="4">
        <f>+G82-M82</f>
        <v/>
      </c>
      <c r="T82" s="4">
        <f>+H82-N82</f>
        <v/>
      </c>
      <c r="U82" s="4">
        <f>+I82-O82</f>
        <v/>
      </c>
      <c r="V82" t="n">
        <v>0</v>
      </c>
      <c r="W82">
        <f>VLOOKUP(A82,'GST Wise Reco'!$A$4:$T$30,20,0)</f>
        <v/>
      </c>
      <c r="X82" t="inlineStr">
        <is>
          <t>Book And 2B Match-Invocies No Mis-Match</t>
        </is>
      </c>
      <c r="Y82" s="5" t="inlineStr">
        <is>
          <t>Book And 2B Match</t>
        </is>
      </c>
    </row>
    <row r="83">
      <c r="A83" t="inlineStr">
        <is>
          <t>AAGCB5066J</t>
        </is>
      </c>
      <c r="B83" t="inlineStr">
        <is>
          <t>AAGCB5066J_TXN/25-26/1136</t>
        </is>
      </c>
      <c r="D83" t="n">
        <v>0</v>
      </c>
      <c r="E83" s="4">
        <f>SUMIF(Book!$G:$G,$B83,Book!J:J)</f>
        <v/>
      </c>
      <c r="F83" s="4">
        <f>SUMIF(Book!$G:$G,$B83,Book!L:L)</f>
        <v/>
      </c>
      <c r="G83" s="4">
        <f>SUMIF(Book!$G:$G,$B83,Book!M:M)</f>
        <v/>
      </c>
      <c r="H83" s="4">
        <f>SUMIF(Book!$G:$G,$B83,Book!N:N)</f>
        <v/>
      </c>
      <c r="I83" s="4">
        <f>SUMIF(Book!$G:$G,$B83,Book!O:O)</f>
        <v/>
      </c>
      <c r="J83" t="n">
        <v>0</v>
      </c>
      <c r="K83" s="4">
        <f>SUMIF('GSTR-2B'!$G:$G,$B83,'GSTR-2B'!J:J)</f>
        <v/>
      </c>
      <c r="L83" s="4">
        <f>SUMIF('GSTR-2B'!$G:$G,$B83,'GSTR-2B'!L:L)</f>
        <v/>
      </c>
      <c r="M83" s="4">
        <f>SUMIF('GSTR-2B'!$G:$G,$B83,'GSTR-2B'!M:M)</f>
        <v/>
      </c>
      <c r="N83" s="4">
        <f>SUMIF('GSTR-2B'!$G:$G,$B83,'GSTR-2B'!N:N)</f>
        <v/>
      </c>
      <c r="O83" s="4">
        <f>SUMIF('GSTR-2B'!$G:$G,$B83,'GSTR-2B'!O:O)</f>
        <v/>
      </c>
      <c r="P83" t="n">
        <v>0</v>
      </c>
      <c r="Q83" s="4">
        <f>+E83-K83</f>
        <v/>
      </c>
      <c r="R83" s="4">
        <f>+F83-L83</f>
        <v/>
      </c>
      <c r="S83" s="4">
        <f>+G83-M83</f>
        <v/>
      </c>
      <c r="T83" s="4">
        <f>+H83-N83</f>
        <v/>
      </c>
      <c r="U83" s="4">
        <f>+I83-O83</f>
        <v/>
      </c>
      <c r="V83" t="n">
        <v>0</v>
      </c>
      <c r="W83">
        <f>VLOOKUP(A83,'GST Wise Reco'!$A$4:$T$30,20,0)</f>
        <v/>
      </c>
      <c r="X83" t="inlineStr">
        <is>
          <t>Book And 2B Match</t>
        </is>
      </c>
      <c r="Y83" s="5" t="inlineStr">
        <is>
          <t>Book And 2B Match</t>
        </is>
      </c>
    </row>
    <row r="84">
      <c r="A84" t="inlineStr">
        <is>
          <t>AAHCT4293N</t>
        </is>
      </c>
      <c r="B84" t="inlineStr">
        <is>
          <t>AAHCT4293N_TTSPL20250425</t>
        </is>
      </c>
      <c r="D84" t="n">
        <v>0</v>
      </c>
      <c r="E84" s="4">
        <f>SUMIF(Book!$G:$G,$B84,Book!J:J)</f>
        <v/>
      </c>
      <c r="F84" s="4">
        <f>SUMIF(Book!$G:$G,$B84,Book!L:L)</f>
        <v/>
      </c>
      <c r="G84" s="4">
        <f>SUMIF(Book!$G:$G,$B84,Book!M:M)</f>
        <v/>
      </c>
      <c r="H84" s="4">
        <f>SUMIF(Book!$G:$G,$B84,Book!N:N)</f>
        <v/>
      </c>
      <c r="I84" s="4">
        <f>SUMIF(Book!$G:$G,$B84,Book!O:O)</f>
        <v/>
      </c>
      <c r="J84" t="n">
        <v>0</v>
      </c>
      <c r="K84" s="4">
        <f>SUMIF('GSTR-2B'!$G:$G,$B84,'GSTR-2B'!J:J)</f>
        <v/>
      </c>
      <c r="L84" s="4">
        <f>SUMIF('GSTR-2B'!$G:$G,$B84,'GSTR-2B'!L:L)</f>
        <v/>
      </c>
      <c r="M84" s="4">
        <f>SUMIF('GSTR-2B'!$G:$G,$B84,'GSTR-2B'!M:M)</f>
        <v/>
      </c>
      <c r="N84" s="4">
        <f>SUMIF('GSTR-2B'!$G:$G,$B84,'GSTR-2B'!N:N)</f>
        <v/>
      </c>
      <c r="O84" s="4">
        <f>SUMIF('GSTR-2B'!$G:$G,$B84,'GSTR-2B'!O:O)</f>
        <v/>
      </c>
      <c r="P84" t="n">
        <v>0</v>
      </c>
      <c r="Q84" s="4">
        <f>+E84-K84</f>
        <v/>
      </c>
      <c r="R84" s="4">
        <f>+F84-L84</f>
        <v/>
      </c>
      <c r="S84" s="4">
        <f>+G84-M84</f>
        <v/>
      </c>
      <c r="T84" s="4">
        <f>+H84-N84</f>
        <v/>
      </c>
      <c r="U84" s="4">
        <f>+I84-O84</f>
        <v/>
      </c>
      <c r="V84" t="n">
        <v>0</v>
      </c>
      <c r="W84">
        <f>VLOOKUP(A84,'GST Wise Reco'!$A$4:$T$30,20,0)</f>
        <v/>
      </c>
      <c r="X84" t="inlineStr">
        <is>
          <t>Book And 2B Match</t>
        </is>
      </c>
      <c r="Y84" s="5" t="inlineStr">
        <is>
          <t>Book And 2B Match</t>
        </is>
      </c>
    </row>
    <row r="85">
      <c r="A85" t="inlineStr">
        <is>
          <t>AAHCT4293N</t>
        </is>
      </c>
      <c r="B85" t="inlineStr">
        <is>
          <t>AAHCT4293N_TTSPL20250534</t>
        </is>
      </c>
      <c r="D85" t="n">
        <v>0</v>
      </c>
      <c r="E85" s="4">
        <f>SUMIF(Book!$G:$G,$B85,Book!J:J)</f>
        <v/>
      </c>
      <c r="F85" s="4">
        <f>SUMIF(Book!$G:$G,$B85,Book!L:L)</f>
        <v/>
      </c>
      <c r="G85" s="4">
        <f>SUMIF(Book!$G:$G,$B85,Book!M:M)</f>
        <v/>
      </c>
      <c r="H85" s="4">
        <f>SUMIF(Book!$G:$G,$B85,Book!N:N)</f>
        <v/>
      </c>
      <c r="I85" s="4">
        <f>SUMIF(Book!$G:$G,$B85,Book!O:O)</f>
        <v/>
      </c>
      <c r="J85" t="n">
        <v>0</v>
      </c>
      <c r="K85" s="4">
        <f>SUMIF('GSTR-2B'!$G:$G,$B85,'GSTR-2B'!J:J)</f>
        <v/>
      </c>
      <c r="L85" s="4">
        <f>SUMIF('GSTR-2B'!$G:$G,$B85,'GSTR-2B'!L:L)</f>
        <v/>
      </c>
      <c r="M85" s="4">
        <f>SUMIF('GSTR-2B'!$G:$G,$B85,'GSTR-2B'!M:M)</f>
        <v/>
      </c>
      <c r="N85" s="4">
        <f>SUMIF('GSTR-2B'!$G:$G,$B85,'GSTR-2B'!N:N)</f>
        <v/>
      </c>
      <c r="O85" s="4">
        <f>SUMIF('GSTR-2B'!$G:$G,$B85,'GSTR-2B'!O:O)</f>
        <v/>
      </c>
      <c r="P85" t="n">
        <v>0</v>
      </c>
      <c r="Q85" s="4">
        <f>+E85-K85</f>
        <v/>
      </c>
      <c r="R85" s="4">
        <f>+F85-L85</f>
        <v/>
      </c>
      <c r="S85" s="4">
        <f>+G85-M85</f>
        <v/>
      </c>
      <c r="T85" s="4">
        <f>+H85-N85</f>
        <v/>
      </c>
      <c r="U85" s="4">
        <f>+I85-O85</f>
        <v/>
      </c>
      <c r="V85" t="n">
        <v>0</v>
      </c>
      <c r="W85">
        <f>VLOOKUP(A85,'GST Wise Reco'!$A$4:$T$30,20,0)</f>
        <v/>
      </c>
      <c r="X85" t="inlineStr">
        <is>
          <t>Book And 2B Match</t>
        </is>
      </c>
      <c r="Y85" s="5" t="inlineStr">
        <is>
          <t>Book And 2B Match</t>
        </is>
      </c>
    </row>
    <row r="86">
      <c r="A86" t="inlineStr">
        <is>
          <t>AAHCT4293N</t>
        </is>
      </c>
      <c r="B86" t="inlineStr">
        <is>
          <t>AAHCT4293N_TTSPL20250627</t>
        </is>
      </c>
      <c r="D86" t="n">
        <v>0</v>
      </c>
      <c r="E86" s="4">
        <f>SUMIF(Book!$G:$G,$B86,Book!J:J)</f>
        <v/>
      </c>
      <c r="F86" s="4">
        <f>SUMIF(Book!$G:$G,$B86,Book!L:L)</f>
        <v/>
      </c>
      <c r="G86" s="4">
        <f>SUMIF(Book!$G:$G,$B86,Book!M:M)</f>
        <v/>
      </c>
      <c r="H86" s="4">
        <f>SUMIF(Book!$G:$G,$B86,Book!N:N)</f>
        <v/>
      </c>
      <c r="I86" s="4">
        <f>SUMIF(Book!$G:$G,$B86,Book!O:O)</f>
        <v/>
      </c>
      <c r="J86" t="n">
        <v>0</v>
      </c>
      <c r="K86" s="4">
        <f>SUMIF('GSTR-2B'!$G:$G,$B86,'GSTR-2B'!J:J)</f>
        <v/>
      </c>
      <c r="L86" s="4">
        <f>SUMIF('GSTR-2B'!$G:$G,$B86,'GSTR-2B'!L:L)</f>
        <v/>
      </c>
      <c r="M86" s="4">
        <f>SUMIF('GSTR-2B'!$G:$G,$B86,'GSTR-2B'!M:M)</f>
        <v/>
      </c>
      <c r="N86" s="4">
        <f>SUMIF('GSTR-2B'!$G:$G,$B86,'GSTR-2B'!N:N)</f>
        <v/>
      </c>
      <c r="O86" s="4">
        <f>SUMIF('GSTR-2B'!$G:$G,$B86,'GSTR-2B'!O:O)</f>
        <v/>
      </c>
      <c r="P86" t="n">
        <v>0</v>
      </c>
      <c r="Q86" s="4">
        <f>+E86-K86</f>
        <v/>
      </c>
      <c r="R86" s="4">
        <f>+F86-L86</f>
        <v/>
      </c>
      <c r="S86" s="4">
        <f>+G86-M86</f>
        <v/>
      </c>
      <c r="T86" s="4">
        <f>+H86-N86</f>
        <v/>
      </c>
      <c r="U86" s="4">
        <f>+I86-O86</f>
        <v/>
      </c>
      <c r="V86" t="n">
        <v>0</v>
      </c>
      <c r="W86">
        <f>VLOOKUP(A86,'GST Wise Reco'!$A$4:$T$30,20,0)</f>
        <v/>
      </c>
      <c r="X86" t="inlineStr">
        <is>
          <t>Book And 2B Match</t>
        </is>
      </c>
      <c r="Y86" s="5" t="inlineStr">
        <is>
          <t>Book And 2B Match</t>
        </is>
      </c>
    </row>
    <row r="87">
      <c r="A87" t="inlineStr">
        <is>
          <t>AAHCT4293N</t>
        </is>
      </c>
      <c r="B87" t="inlineStr">
        <is>
          <t>AAHCT4293N_TTSPL20250725</t>
        </is>
      </c>
      <c r="D87" t="n">
        <v>0</v>
      </c>
      <c r="E87" s="4">
        <f>SUMIF(Book!$G:$G,$B87,Book!J:J)</f>
        <v/>
      </c>
      <c r="F87" s="4">
        <f>SUMIF(Book!$G:$G,$B87,Book!L:L)</f>
        <v/>
      </c>
      <c r="G87" s="4">
        <f>SUMIF(Book!$G:$G,$B87,Book!M:M)</f>
        <v/>
      </c>
      <c r="H87" s="4">
        <f>SUMIF(Book!$G:$G,$B87,Book!N:N)</f>
        <v/>
      </c>
      <c r="I87" s="4">
        <f>SUMIF(Book!$G:$G,$B87,Book!O:O)</f>
        <v/>
      </c>
      <c r="J87" t="n">
        <v>0</v>
      </c>
      <c r="K87" s="4">
        <f>SUMIF('GSTR-2B'!$G:$G,$B87,'GSTR-2B'!J:J)</f>
        <v/>
      </c>
      <c r="L87" s="4">
        <f>SUMIF('GSTR-2B'!$G:$G,$B87,'GSTR-2B'!L:L)</f>
        <v/>
      </c>
      <c r="M87" s="4">
        <f>SUMIF('GSTR-2B'!$G:$G,$B87,'GSTR-2B'!M:M)</f>
        <v/>
      </c>
      <c r="N87" s="4">
        <f>SUMIF('GSTR-2B'!$G:$G,$B87,'GSTR-2B'!N:N)</f>
        <v/>
      </c>
      <c r="O87" s="4">
        <f>SUMIF('GSTR-2B'!$G:$G,$B87,'GSTR-2B'!O:O)</f>
        <v/>
      </c>
      <c r="P87" t="n">
        <v>0</v>
      </c>
      <c r="Q87" s="4">
        <f>+E87-K87</f>
        <v/>
      </c>
      <c r="R87" s="4">
        <f>+F87-L87</f>
        <v/>
      </c>
      <c r="S87" s="4">
        <f>+G87-M87</f>
        <v/>
      </c>
      <c r="T87" s="4">
        <f>+H87-N87</f>
        <v/>
      </c>
      <c r="U87" s="4">
        <f>+I87-O87</f>
        <v/>
      </c>
      <c r="V87" t="n">
        <v>0</v>
      </c>
      <c r="W87">
        <f>VLOOKUP(A87,'GST Wise Reco'!$A$4:$T$30,20,0)</f>
        <v/>
      </c>
      <c r="X87" t="inlineStr">
        <is>
          <t>Book And 2B Match</t>
        </is>
      </c>
      <c r="Y87" s="5" t="inlineStr">
        <is>
          <t>Book And 2B Match</t>
        </is>
      </c>
    </row>
    <row r="88">
      <c r="A88" t="inlineStr">
        <is>
          <t>AAHCT4293N</t>
        </is>
      </c>
      <c r="B88" t="inlineStr">
        <is>
          <t>AAHCT4293N_TTSPL20250822</t>
        </is>
      </c>
      <c r="D88" t="n">
        <v>0</v>
      </c>
      <c r="E88" s="4">
        <f>SUMIF(Book!$G:$G,$B88,Book!J:J)</f>
        <v/>
      </c>
      <c r="F88" s="4">
        <f>SUMIF(Book!$G:$G,$B88,Book!L:L)</f>
        <v/>
      </c>
      <c r="G88" s="4">
        <f>SUMIF(Book!$G:$G,$B88,Book!M:M)</f>
        <v/>
      </c>
      <c r="H88" s="4">
        <f>SUMIF(Book!$G:$G,$B88,Book!N:N)</f>
        <v/>
      </c>
      <c r="I88" s="4">
        <f>SUMIF(Book!$G:$G,$B88,Book!O:O)</f>
        <v/>
      </c>
      <c r="J88" t="n">
        <v>0</v>
      </c>
      <c r="K88" s="4">
        <f>SUMIF('GSTR-2B'!$G:$G,$B88,'GSTR-2B'!J:J)</f>
        <v/>
      </c>
      <c r="L88" s="4">
        <f>SUMIF('GSTR-2B'!$G:$G,$B88,'GSTR-2B'!L:L)</f>
        <v/>
      </c>
      <c r="M88" s="4">
        <f>SUMIF('GSTR-2B'!$G:$G,$B88,'GSTR-2B'!M:M)</f>
        <v/>
      </c>
      <c r="N88" s="4">
        <f>SUMIF('GSTR-2B'!$G:$G,$B88,'GSTR-2B'!N:N)</f>
        <v/>
      </c>
      <c r="O88" s="4">
        <f>SUMIF('GSTR-2B'!$G:$G,$B88,'GSTR-2B'!O:O)</f>
        <v/>
      </c>
      <c r="P88" t="n">
        <v>0</v>
      </c>
      <c r="Q88" s="4">
        <f>+E88-K88</f>
        <v/>
      </c>
      <c r="R88" s="4">
        <f>+F88-L88</f>
        <v/>
      </c>
      <c r="S88" s="4">
        <f>+G88-M88</f>
        <v/>
      </c>
      <c r="T88" s="4">
        <f>+H88-N88</f>
        <v/>
      </c>
      <c r="U88" s="4">
        <f>+I88-O88</f>
        <v/>
      </c>
      <c r="V88" t="n">
        <v>0</v>
      </c>
      <c r="W88">
        <f>VLOOKUP(A88,'GST Wise Reco'!$A$4:$T$30,20,0)</f>
        <v/>
      </c>
      <c r="X88" t="inlineStr">
        <is>
          <t>Book And 2B Match</t>
        </is>
      </c>
      <c r="Y88" s="5" t="inlineStr">
        <is>
          <t>Book And 2B Match</t>
        </is>
      </c>
    </row>
    <row r="89">
      <c r="A89" t="inlineStr">
        <is>
          <t>AAHCT4293N</t>
        </is>
      </c>
      <c r="B89" t="inlineStr">
        <is>
          <t>AAHCT4293N_TTSPL20250930</t>
        </is>
      </c>
      <c r="D89" t="n">
        <v>0</v>
      </c>
      <c r="E89" s="4">
        <f>SUMIF(Book!$G:$G,$B89,Book!J:J)</f>
        <v/>
      </c>
      <c r="F89" s="4">
        <f>SUMIF(Book!$G:$G,$B89,Book!L:L)</f>
        <v/>
      </c>
      <c r="G89" s="4">
        <f>SUMIF(Book!$G:$G,$B89,Book!M:M)</f>
        <v/>
      </c>
      <c r="H89" s="4">
        <f>SUMIF(Book!$G:$G,$B89,Book!N:N)</f>
        <v/>
      </c>
      <c r="I89" s="4">
        <f>SUMIF(Book!$G:$G,$B89,Book!O:O)</f>
        <v/>
      </c>
      <c r="J89" t="n">
        <v>0</v>
      </c>
      <c r="K89" s="4">
        <f>SUMIF('GSTR-2B'!$G:$G,$B89,'GSTR-2B'!J:J)</f>
        <v/>
      </c>
      <c r="L89" s="4">
        <f>SUMIF('GSTR-2B'!$G:$G,$B89,'GSTR-2B'!L:L)</f>
        <v/>
      </c>
      <c r="M89" s="4">
        <f>SUMIF('GSTR-2B'!$G:$G,$B89,'GSTR-2B'!M:M)</f>
        <v/>
      </c>
      <c r="N89" s="4">
        <f>SUMIF('GSTR-2B'!$G:$G,$B89,'GSTR-2B'!N:N)</f>
        <v/>
      </c>
      <c r="O89" s="4">
        <f>SUMIF('GSTR-2B'!$G:$G,$B89,'GSTR-2B'!O:O)</f>
        <v/>
      </c>
      <c r="P89" t="n">
        <v>0</v>
      </c>
      <c r="Q89" s="4">
        <f>+E89-K89</f>
        <v/>
      </c>
      <c r="R89" s="4">
        <f>+F89-L89</f>
        <v/>
      </c>
      <c r="S89" s="4">
        <f>+G89-M89</f>
        <v/>
      </c>
      <c r="T89" s="4">
        <f>+H89-N89</f>
        <v/>
      </c>
      <c r="U89" s="4">
        <f>+I89-O89</f>
        <v/>
      </c>
      <c r="V89" t="n">
        <v>0</v>
      </c>
      <c r="W89">
        <f>VLOOKUP(A89,'GST Wise Reco'!$A$4:$T$30,20,0)</f>
        <v/>
      </c>
      <c r="X89" t="inlineStr">
        <is>
          <t>Book And 2B Match</t>
        </is>
      </c>
      <c r="Y89" s="5" t="inlineStr">
        <is>
          <t>Book And 2B Match</t>
        </is>
      </c>
    </row>
    <row r="90">
      <c r="A90" t="inlineStr">
        <is>
          <t>AAHCT4293N</t>
        </is>
      </c>
      <c r="B90" t="inlineStr">
        <is>
          <t>AAHCT4293N_TTSPL20251023</t>
        </is>
      </c>
      <c r="D90" t="n">
        <v>0</v>
      </c>
      <c r="E90" s="4">
        <f>SUMIF(Book!$G:$G,$B90,Book!J:J)</f>
        <v/>
      </c>
      <c r="F90" s="4">
        <f>SUMIF(Book!$G:$G,$B90,Book!L:L)</f>
        <v/>
      </c>
      <c r="G90" s="4">
        <f>SUMIF(Book!$G:$G,$B90,Book!M:M)</f>
        <v/>
      </c>
      <c r="H90" s="4">
        <f>SUMIF(Book!$G:$G,$B90,Book!N:N)</f>
        <v/>
      </c>
      <c r="I90" s="4">
        <f>SUMIF(Book!$G:$G,$B90,Book!O:O)</f>
        <v/>
      </c>
      <c r="J90" t="n">
        <v>0</v>
      </c>
      <c r="K90" s="4">
        <f>SUMIF('GSTR-2B'!$G:$G,$B90,'GSTR-2B'!J:J)</f>
        <v/>
      </c>
      <c r="L90" s="4">
        <f>SUMIF('GSTR-2B'!$G:$G,$B90,'GSTR-2B'!L:L)</f>
        <v/>
      </c>
      <c r="M90" s="4">
        <f>SUMIF('GSTR-2B'!$G:$G,$B90,'GSTR-2B'!M:M)</f>
        <v/>
      </c>
      <c r="N90" s="4">
        <f>SUMIF('GSTR-2B'!$G:$G,$B90,'GSTR-2B'!N:N)</f>
        <v/>
      </c>
      <c r="O90" s="4">
        <f>SUMIF('GSTR-2B'!$G:$G,$B90,'GSTR-2B'!O:O)</f>
        <v/>
      </c>
      <c r="P90" t="n">
        <v>0</v>
      </c>
      <c r="Q90" s="4">
        <f>+E90-K90</f>
        <v/>
      </c>
      <c r="R90" s="4">
        <f>+F90-L90</f>
        <v/>
      </c>
      <c r="S90" s="4">
        <f>+G90-M90</f>
        <v/>
      </c>
      <c r="T90" s="4">
        <f>+H90-N90</f>
        <v/>
      </c>
      <c r="U90" s="4">
        <f>+I90-O90</f>
        <v/>
      </c>
      <c r="V90" t="n">
        <v>0</v>
      </c>
      <c r="W90">
        <f>VLOOKUP(A90,'GST Wise Reco'!$A$4:$T$30,20,0)</f>
        <v/>
      </c>
      <c r="X90" t="inlineStr">
        <is>
          <t>Book And 2B Match</t>
        </is>
      </c>
      <c r="Y90" s="5" t="inlineStr">
        <is>
          <t>Book And 2B Match</t>
        </is>
      </c>
    </row>
    <row r="91">
      <c r="A91" t="inlineStr">
        <is>
          <t>AAHCT4293N</t>
        </is>
      </c>
      <c r="B91" t="inlineStr">
        <is>
          <t>AAHCT4293N_TTSPL20251114</t>
        </is>
      </c>
      <c r="D91" t="n">
        <v>0</v>
      </c>
      <c r="E91" s="4">
        <f>SUMIF(Book!$G:$G,$B91,Book!J:J)</f>
        <v/>
      </c>
      <c r="F91" s="4">
        <f>SUMIF(Book!$G:$G,$B91,Book!L:L)</f>
        <v/>
      </c>
      <c r="G91" s="4">
        <f>SUMIF(Book!$G:$G,$B91,Book!M:M)</f>
        <v/>
      </c>
      <c r="H91" s="4">
        <f>SUMIF(Book!$G:$G,$B91,Book!N:N)</f>
        <v/>
      </c>
      <c r="I91" s="4">
        <f>SUMIF(Book!$G:$G,$B91,Book!O:O)</f>
        <v/>
      </c>
      <c r="J91" t="n">
        <v>0</v>
      </c>
      <c r="K91" s="4">
        <f>SUMIF('GSTR-2B'!$G:$G,$B91,'GSTR-2B'!J:J)</f>
        <v/>
      </c>
      <c r="L91" s="4">
        <f>SUMIF('GSTR-2B'!$G:$G,$B91,'GSTR-2B'!L:L)</f>
        <v/>
      </c>
      <c r="M91" s="4">
        <f>SUMIF('GSTR-2B'!$G:$G,$B91,'GSTR-2B'!M:M)</f>
        <v/>
      </c>
      <c r="N91" s="4">
        <f>SUMIF('GSTR-2B'!$G:$G,$B91,'GSTR-2B'!N:N)</f>
        <v/>
      </c>
      <c r="O91" s="4">
        <f>SUMIF('GSTR-2B'!$G:$G,$B91,'GSTR-2B'!O:O)</f>
        <v/>
      </c>
      <c r="P91" t="n">
        <v>0</v>
      </c>
      <c r="Q91" s="4">
        <f>+E91-K91</f>
        <v/>
      </c>
      <c r="R91" s="4">
        <f>+F91-L91</f>
        <v/>
      </c>
      <c r="S91" s="4">
        <f>+G91-M91</f>
        <v/>
      </c>
      <c r="T91" s="4">
        <f>+H91-N91</f>
        <v/>
      </c>
      <c r="U91" s="4">
        <f>+I91-O91</f>
        <v/>
      </c>
      <c r="V91" t="n">
        <v>0</v>
      </c>
      <c r="W91">
        <f>VLOOKUP(A91,'GST Wise Reco'!$A$4:$T$30,20,0)</f>
        <v/>
      </c>
      <c r="X91" t="inlineStr">
        <is>
          <t>Book And 2B Match</t>
        </is>
      </c>
      <c r="Y91" s="5" t="inlineStr">
        <is>
          <t>Book And 2B Match</t>
        </is>
      </c>
    </row>
    <row r="92">
      <c r="A92" t="inlineStr">
        <is>
          <t>AAHCT4293N</t>
        </is>
      </c>
      <c r="B92" t="inlineStr">
        <is>
          <t>AAHCT4293N_TTSPL20251225</t>
        </is>
      </c>
      <c r="D92" t="n">
        <v>0</v>
      </c>
      <c r="E92" s="4">
        <f>SUMIF(Book!$G:$G,$B92,Book!J:J)</f>
        <v/>
      </c>
      <c r="F92" s="4">
        <f>SUMIF(Book!$G:$G,$B92,Book!L:L)</f>
        <v/>
      </c>
      <c r="G92" s="4">
        <f>SUMIF(Book!$G:$G,$B92,Book!M:M)</f>
        <v/>
      </c>
      <c r="H92" s="4">
        <f>SUMIF(Book!$G:$G,$B92,Book!N:N)</f>
        <v/>
      </c>
      <c r="I92" s="4">
        <f>SUMIF(Book!$G:$G,$B92,Book!O:O)</f>
        <v/>
      </c>
      <c r="J92" t="n">
        <v>0</v>
      </c>
      <c r="K92" s="4">
        <f>SUMIF('GSTR-2B'!$G:$G,$B92,'GSTR-2B'!J:J)</f>
        <v/>
      </c>
      <c r="L92" s="4">
        <f>SUMIF('GSTR-2B'!$G:$G,$B92,'GSTR-2B'!L:L)</f>
        <v/>
      </c>
      <c r="M92" s="4">
        <f>SUMIF('GSTR-2B'!$G:$G,$B92,'GSTR-2B'!M:M)</f>
        <v/>
      </c>
      <c r="N92" s="4">
        <f>SUMIF('GSTR-2B'!$G:$G,$B92,'GSTR-2B'!N:N)</f>
        <v/>
      </c>
      <c r="O92" s="4">
        <f>SUMIF('GSTR-2B'!$G:$G,$B92,'GSTR-2B'!O:O)</f>
        <v/>
      </c>
      <c r="P92" t="n">
        <v>0</v>
      </c>
      <c r="Q92" s="4">
        <f>+E92-K92</f>
        <v/>
      </c>
      <c r="R92" s="4">
        <f>+F92-L92</f>
        <v/>
      </c>
      <c r="S92" s="4">
        <f>+G92-M92</f>
        <v/>
      </c>
      <c r="T92" s="4">
        <f>+H92-N92</f>
        <v/>
      </c>
      <c r="U92" s="4">
        <f>+I92-O92</f>
        <v/>
      </c>
      <c r="V92" t="n">
        <v>0</v>
      </c>
      <c r="W92">
        <f>VLOOKUP(A92,'GST Wise Reco'!$A$4:$T$30,20,0)</f>
        <v/>
      </c>
      <c r="X92" t="inlineStr">
        <is>
          <t>Book And 2B Match</t>
        </is>
      </c>
      <c r="Y92" s="5" t="inlineStr">
        <is>
          <t>Book And 2B Match</t>
        </is>
      </c>
    </row>
    <row r="93">
      <c r="A93" t="inlineStr">
        <is>
          <t>AAHCT4293N</t>
        </is>
      </c>
      <c r="B93" t="inlineStr">
        <is>
          <t>AAHCT4293N_TTSPL20260124</t>
        </is>
      </c>
      <c r="D93" t="n">
        <v>0</v>
      </c>
      <c r="E93" s="4">
        <f>SUMIF(Book!$G:$G,$B93,Book!J:J)</f>
        <v/>
      </c>
      <c r="F93" s="4">
        <f>SUMIF(Book!$G:$G,$B93,Book!L:L)</f>
        <v/>
      </c>
      <c r="G93" s="4">
        <f>SUMIF(Book!$G:$G,$B93,Book!M:M)</f>
        <v/>
      </c>
      <c r="H93" s="4">
        <f>SUMIF(Book!$G:$G,$B93,Book!N:N)</f>
        <v/>
      </c>
      <c r="I93" s="4">
        <f>SUMIF(Book!$G:$G,$B93,Book!O:O)</f>
        <v/>
      </c>
      <c r="J93" t="n">
        <v>0</v>
      </c>
      <c r="K93" s="4">
        <f>SUMIF('GSTR-2B'!$G:$G,$B93,'GSTR-2B'!J:J)</f>
        <v/>
      </c>
      <c r="L93" s="4">
        <f>SUMIF('GSTR-2B'!$G:$G,$B93,'GSTR-2B'!L:L)</f>
        <v/>
      </c>
      <c r="M93" s="4">
        <f>SUMIF('GSTR-2B'!$G:$G,$B93,'GSTR-2B'!M:M)</f>
        <v/>
      </c>
      <c r="N93" s="4">
        <f>SUMIF('GSTR-2B'!$G:$G,$B93,'GSTR-2B'!N:N)</f>
        <v/>
      </c>
      <c r="O93" s="4">
        <f>SUMIF('GSTR-2B'!$G:$G,$B93,'GSTR-2B'!O:O)</f>
        <v/>
      </c>
      <c r="P93" t="n">
        <v>0</v>
      </c>
      <c r="Q93" s="4">
        <f>+E93-K93</f>
        <v/>
      </c>
      <c r="R93" s="4">
        <f>+F93-L93</f>
        <v/>
      </c>
      <c r="S93" s="4">
        <f>+G93-M93</f>
        <v/>
      </c>
      <c r="T93" s="4">
        <f>+H93-N93</f>
        <v/>
      </c>
      <c r="U93" s="4">
        <f>+I93-O93</f>
        <v/>
      </c>
      <c r="V93" t="n">
        <v>0</v>
      </c>
      <c r="W93">
        <f>VLOOKUP(A93,'GST Wise Reco'!$A$4:$T$30,20,0)</f>
        <v/>
      </c>
      <c r="X93" t="inlineStr">
        <is>
          <t>Book And 2B Match</t>
        </is>
      </c>
      <c r="Y93" s="5" t="inlineStr">
        <is>
          <t>Book And 2B Match</t>
        </is>
      </c>
    </row>
    <row r="94">
      <c r="A94" t="inlineStr">
        <is>
          <t>AAHCT4293N</t>
        </is>
      </c>
      <c r="B94" t="inlineStr">
        <is>
          <t>AAHCT4293N_TTSPL20260217</t>
        </is>
      </c>
      <c r="D94" t="n">
        <v>0</v>
      </c>
      <c r="E94" s="4">
        <f>SUMIF(Book!$G:$G,$B94,Book!J:J)</f>
        <v/>
      </c>
      <c r="F94" s="4">
        <f>SUMIF(Book!$G:$G,$B94,Book!L:L)</f>
        <v/>
      </c>
      <c r="G94" s="4">
        <f>SUMIF(Book!$G:$G,$B94,Book!M:M)</f>
        <v/>
      </c>
      <c r="H94" s="4">
        <f>SUMIF(Book!$G:$G,$B94,Book!N:N)</f>
        <v/>
      </c>
      <c r="I94" s="4">
        <f>SUMIF(Book!$G:$G,$B94,Book!O:O)</f>
        <v/>
      </c>
      <c r="J94" t="n">
        <v>0</v>
      </c>
      <c r="K94" s="4">
        <f>SUMIF('GSTR-2B'!$G:$G,$B94,'GSTR-2B'!J:J)</f>
        <v/>
      </c>
      <c r="L94" s="4">
        <f>SUMIF('GSTR-2B'!$G:$G,$B94,'GSTR-2B'!L:L)</f>
        <v/>
      </c>
      <c r="M94" s="4">
        <f>SUMIF('GSTR-2B'!$G:$G,$B94,'GSTR-2B'!M:M)</f>
        <v/>
      </c>
      <c r="N94" s="4">
        <f>SUMIF('GSTR-2B'!$G:$G,$B94,'GSTR-2B'!N:N)</f>
        <v/>
      </c>
      <c r="O94" s="4">
        <f>SUMIF('GSTR-2B'!$G:$G,$B94,'GSTR-2B'!O:O)</f>
        <v/>
      </c>
      <c r="P94" t="n">
        <v>0</v>
      </c>
      <c r="Q94" s="4">
        <f>+E94-K94</f>
        <v/>
      </c>
      <c r="R94" s="4">
        <f>+F94-L94</f>
        <v/>
      </c>
      <c r="S94" s="4">
        <f>+G94-M94</f>
        <v/>
      </c>
      <c r="T94" s="4">
        <f>+H94-N94</f>
        <v/>
      </c>
      <c r="U94" s="4">
        <f>+I94-O94</f>
        <v/>
      </c>
      <c r="V94" t="n">
        <v>0</v>
      </c>
      <c r="W94">
        <f>VLOOKUP(A94,'GST Wise Reco'!$A$4:$T$30,20,0)</f>
        <v/>
      </c>
      <c r="X94" t="inlineStr">
        <is>
          <t>Book And 2B Match</t>
        </is>
      </c>
      <c r="Y94" s="5" t="inlineStr">
        <is>
          <t>Book And 2B Match</t>
        </is>
      </c>
    </row>
    <row r="95">
      <c r="A95" t="inlineStr">
        <is>
          <t>AAHCT4293N</t>
        </is>
      </c>
      <c r="B95" t="inlineStr">
        <is>
          <t>AAHCT4293N_TTSPL20260320</t>
        </is>
      </c>
      <c r="D95" t="n">
        <v>0</v>
      </c>
      <c r="E95" s="4">
        <f>SUMIF(Book!$G:$G,$B95,Book!J:J)</f>
        <v/>
      </c>
      <c r="F95" s="4">
        <f>SUMIF(Book!$G:$G,$B95,Book!L:L)</f>
        <v/>
      </c>
      <c r="G95" s="4">
        <f>SUMIF(Book!$G:$G,$B95,Book!M:M)</f>
        <v/>
      </c>
      <c r="H95" s="4">
        <f>SUMIF(Book!$G:$G,$B95,Book!N:N)</f>
        <v/>
      </c>
      <c r="I95" s="4">
        <f>SUMIF(Book!$G:$G,$B95,Book!O:O)</f>
        <v/>
      </c>
      <c r="J95" t="n">
        <v>0</v>
      </c>
      <c r="K95" s="4">
        <f>SUMIF('GSTR-2B'!$G:$G,$B95,'GSTR-2B'!J:J)</f>
        <v/>
      </c>
      <c r="L95" s="4">
        <f>SUMIF('GSTR-2B'!$G:$G,$B95,'GSTR-2B'!L:L)</f>
        <v/>
      </c>
      <c r="M95" s="4">
        <f>SUMIF('GSTR-2B'!$G:$G,$B95,'GSTR-2B'!M:M)</f>
        <v/>
      </c>
      <c r="N95" s="4">
        <f>SUMIF('GSTR-2B'!$G:$G,$B95,'GSTR-2B'!N:N)</f>
        <v/>
      </c>
      <c r="O95" s="4">
        <f>SUMIF('GSTR-2B'!$G:$G,$B95,'GSTR-2B'!O:O)</f>
        <v/>
      </c>
      <c r="P95" t="n">
        <v>0</v>
      </c>
      <c r="Q95" s="4">
        <f>+E95-K95</f>
        <v/>
      </c>
      <c r="R95" s="4">
        <f>+F95-L95</f>
        <v/>
      </c>
      <c r="S95" s="4">
        <f>+G95-M95</f>
        <v/>
      </c>
      <c r="T95" s="4">
        <f>+H95-N95</f>
        <v/>
      </c>
      <c r="U95" s="4">
        <f>+I95-O95</f>
        <v/>
      </c>
      <c r="V95" t="n">
        <v>0</v>
      </c>
      <c r="W95">
        <f>VLOOKUP(A95,'GST Wise Reco'!$A$4:$T$30,20,0)</f>
        <v/>
      </c>
      <c r="X95" t="inlineStr">
        <is>
          <t xml:space="preserve">Only for the book </t>
        </is>
      </c>
      <c r="Y95" s="6" t="inlineStr">
        <is>
          <t xml:space="preserve">Only for the book </t>
        </is>
      </c>
    </row>
    <row r="96">
      <c r="A96" t="inlineStr">
        <is>
          <t>AAICT8273F</t>
        </is>
      </c>
      <c r="B96" t="inlineStr">
        <is>
          <t>AAICT8273F_TW/2025-26/1001</t>
        </is>
      </c>
      <c r="D96" t="n">
        <v>0</v>
      </c>
      <c r="E96" s="4">
        <f>SUMIF(Book!$G:$G,$B96,Book!J:J)</f>
        <v/>
      </c>
      <c r="F96" s="4">
        <f>SUMIF(Book!$G:$G,$B96,Book!L:L)</f>
        <v/>
      </c>
      <c r="G96" s="4">
        <f>SUMIF(Book!$G:$G,$B96,Book!M:M)</f>
        <v/>
      </c>
      <c r="H96" s="4">
        <f>SUMIF(Book!$G:$G,$B96,Book!N:N)</f>
        <v/>
      </c>
      <c r="I96" s="4">
        <f>SUMIF(Book!$G:$G,$B96,Book!O:O)</f>
        <v/>
      </c>
      <c r="J96" t="n">
        <v>0</v>
      </c>
      <c r="K96" s="4">
        <f>SUMIF('GSTR-2B'!$G:$G,$B96,'GSTR-2B'!J:J)</f>
        <v/>
      </c>
      <c r="L96" s="4">
        <f>SUMIF('GSTR-2B'!$G:$G,$B96,'GSTR-2B'!L:L)</f>
        <v/>
      </c>
      <c r="M96" s="4">
        <f>SUMIF('GSTR-2B'!$G:$G,$B96,'GSTR-2B'!M:M)</f>
        <v/>
      </c>
      <c r="N96" s="4">
        <f>SUMIF('GSTR-2B'!$G:$G,$B96,'GSTR-2B'!N:N)</f>
        <v/>
      </c>
      <c r="O96" s="4">
        <f>SUMIF('GSTR-2B'!$G:$G,$B96,'GSTR-2B'!O:O)</f>
        <v/>
      </c>
      <c r="P96" t="n">
        <v>0</v>
      </c>
      <c r="Q96" s="4">
        <f>+E96-K96</f>
        <v/>
      </c>
      <c r="R96" s="4">
        <f>+F96-L96</f>
        <v/>
      </c>
      <c r="S96" s="4">
        <f>+G96-M96</f>
        <v/>
      </c>
      <c r="T96" s="4">
        <f>+H96-N96</f>
        <v/>
      </c>
      <c r="U96" s="4">
        <f>+I96-O96</f>
        <v/>
      </c>
      <c r="V96" t="n">
        <v>0</v>
      </c>
      <c r="W96">
        <f>VLOOKUP(A96,'GST Wise Reco'!$A$4:$T$30,20,0)</f>
        <v/>
      </c>
      <c r="X96" t="inlineStr">
        <is>
          <t>Book And 2B Match-Invocies No Mis-Match</t>
        </is>
      </c>
      <c r="Y96" s="5" t="inlineStr">
        <is>
          <t>Book And 2B Match</t>
        </is>
      </c>
    </row>
    <row r="97">
      <c r="A97" t="inlineStr">
        <is>
          <t>AAICT8273F</t>
        </is>
      </c>
      <c r="B97" t="inlineStr">
        <is>
          <t>AAICT8273F_TW/2025-26/1012</t>
        </is>
      </c>
      <c r="D97" t="n">
        <v>0</v>
      </c>
      <c r="E97" s="4">
        <f>SUMIF(Book!$G:$G,$B97,Book!J:J)</f>
        <v/>
      </c>
      <c r="F97" s="4">
        <f>SUMIF(Book!$G:$G,$B97,Book!L:L)</f>
        <v/>
      </c>
      <c r="G97" s="4">
        <f>SUMIF(Book!$G:$G,$B97,Book!M:M)</f>
        <v/>
      </c>
      <c r="H97" s="4">
        <f>SUMIF(Book!$G:$G,$B97,Book!N:N)</f>
        <v/>
      </c>
      <c r="I97" s="4">
        <f>SUMIF(Book!$G:$G,$B97,Book!O:O)</f>
        <v/>
      </c>
      <c r="J97" t="n">
        <v>0</v>
      </c>
      <c r="K97" s="4">
        <f>SUMIF('GSTR-2B'!$G:$G,$B97,'GSTR-2B'!J:J)</f>
        <v/>
      </c>
      <c r="L97" s="4">
        <f>SUMIF('GSTR-2B'!$G:$G,$B97,'GSTR-2B'!L:L)</f>
        <v/>
      </c>
      <c r="M97" s="4">
        <f>SUMIF('GSTR-2B'!$G:$G,$B97,'GSTR-2B'!M:M)</f>
        <v/>
      </c>
      <c r="N97" s="4">
        <f>SUMIF('GSTR-2B'!$G:$G,$B97,'GSTR-2B'!N:N)</f>
        <v/>
      </c>
      <c r="O97" s="4">
        <f>SUMIF('GSTR-2B'!$G:$G,$B97,'GSTR-2B'!O:O)</f>
        <v/>
      </c>
      <c r="P97" t="n">
        <v>0</v>
      </c>
      <c r="Q97" s="4">
        <f>+E97-K97</f>
        <v/>
      </c>
      <c r="R97" s="4">
        <f>+F97-L97</f>
        <v/>
      </c>
      <c r="S97" s="4">
        <f>+G97-M97</f>
        <v/>
      </c>
      <c r="T97" s="4">
        <f>+H97-N97</f>
        <v/>
      </c>
      <c r="U97" s="4">
        <f>+I97-O97</f>
        <v/>
      </c>
      <c r="V97" t="n">
        <v>0</v>
      </c>
      <c r="W97">
        <f>VLOOKUP(A97,'GST Wise Reco'!$A$4:$T$30,20,0)</f>
        <v/>
      </c>
      <c r="X97" t="inlineStr">
        <is>
          <t>Book And 2B Match-Invocies No Mis-Match</t>
        </is>
      </c>
      <c r="Y97" s="5" t="inlineStr">
        <is>
          <t>Book And 2B Match</t>
        </is>
      </c>
    </row>
    <row r="98">
      <c r="A98" t="inlineStr">
        <is>
          <t>AAICT8273F</t>
        </is>
      </c>
      <c r="B98" t="inlineStr">
        <is>
          <t>AAICT8273F_TW/2025-26/1027</t>
        </is>
      </c>
      <c r="D98" t="n">
        <v>0</v>
      </c>
      <c r="E98" s="4">
        <f>SUMIF(Book!$G:$G,$B98,Book!J:J)</f>
        <v/>
      </c>
      <c r="F98" s="4">
        <f>SUMIF(Book!$G:$G,$B98,Book!L:L)</f>
        <v/>
      </c>
      <c r="G98" s="4">
        <f>SUMIF(Book!$G:$G,$B98,Book!M:M)</f>
        <v/>
      </c>
      <c r="H98" s="4">
        <f>SUMIF(Book!$G:$G,$B98,Book!N:N)</f>
        <v/>
      </c>
      <c r="I98" s="4">
        <f>SUMIF(Book!$G:$G,$B98,Book!O:O)</f>
        <v/>
      </c>
      <c r="J98" t="n">
        <v>0</v>
      </c>
      <c r="K98" s="4">
        <f>SUMIF('GSTR-2B'!$G:$G,$B98,'GSTR-2B'!J:J)</f>
        <v/>
      </c>
      <c r="L98" s="4">
        <f>SUMIF('GSTR-2B'!$G:$G,$B98,'GSTR-2B'!L:L)</f>
        <v/>
      </c>
      <c r="M98" s="4">
        <f>SUMIF('GSTR-2B'!$G:$G,$B98,'GSTR-2B'!M:M)</f>
        <v/>
      </c>
      <c r="N98" s="4">
        <f>SUMIF('GSTR-2B'!$G:$G,$B98,'GSTR-2B'!N:N)</f>
        <v/>
      </c>
      <c r="O98" s="4">
        <f>SUMIF('GSTR-2B'!$G:$G,$B98,'GSTR-2B'!O:O)</f>
        <v/>
      </c>
      <c r="P98" t="n">
        <v>0</v>
      </c>
      <c r="Q98" s="4">
        <f>+E98-K98</f>
        <v/>
      </c>
      <c r="R98" s="4">
        <f>+F98-L98</f>
        <v/>
      </c>
      <c r="S98" s="4">
        <f>+G98-M98</f>
        <v/>
      </c>
      <c r="T98" s="4">
        <f>+H98-N98</f>
        <v/>
      </c>
      <c r="U98" s="4">
        <f>+I98-O98</f>
        <v/>
      </c>
      <c r="V98" t="n">
        <v>0</v>
      </c>
      <c r="W98">
        <f>VLOOKUP(A98,'GST Wise Reco'!$A$4:$T$30,20,0)</f>
        <v/>
      </c>
      <c r="X98" t="inlineStr">
        <is>
          <t>Book And 2B Match</t>
        </is>
      </c>
      <c r="Y98" s="5" t="inlineStr">
        <is>
          <t>Book And 2B Match</t>
        </is>
      </c>
    </row>
    <row r="99">
      <c r="A99" t="inlineStr">
        <is>
          <t>AAICT8273F</t>
        </is>
      </c>
      <c r="B99" t="inlineStr">
        <is>
          <t>AAICT8273F_TW/2025-26/1045</t>
        </is>
      </c>
      <c r="D99" t="n">
        <v>0</v>
      </c>
      <c r="E99" s="4">
        <f>SUMIF(Book!$G:$G,$B99,Book!J:J)</f>
        <v/>
      </c>
      <c r="F99" s="4">
        <f>SUMIF(Book!$G:$G,$B99,Book!L:L)</f>
        <v/>
      </c>
      <c r="G99" s="4">
        <f>SUMIF(Book!$G:$G,$B99,Book!M:M)</f>
        <v/>
      </c>
      <c r="H99" s="4">
        <f>SUMIF(Book!$G:$G,$B99,Book!N:N)</f>
        <v/>
      </c>
      <c r="I99" s="4">
        <f>SUMIF(Book!$G:$G,$B99,Book!O:O)</f>
        <v/>
      </c>
      <c r="J99" t="n">
        <v>0</v>
      </c>
      <c r="K99" s="4">
        <f>SUMIF('GSTR-2B'!$G:$G,$B99,'GSTR-2B'!J:J)</f>
        <v/>
      </c>
      <c r="L99" s="4">
        <f>SUMIF('GSTR-2B'!$G:$G,$B99,'GSTR-2B'!L:L)</f>
        <v/>
      </c>
      <c r="M99" s="4">
        <f>SUMIF('GSTR-2B'!$G:$G,$B99,'GSTR-2B'!M:M)</f>
        <v/>
      </c>
      <c r="N99" s="4">
        <f>SUMIF('GSTR-2B'!$G:$G,$B99,'GSTR-2B'!N:N)</f>
        <v/>
      </c>
      <c r="O99" s="4">
        <f>SUMIF('GSTR-2B'!$G:$G,$B99,'GSTR-2B'!O:O)</f>
        <v/>
      </c>
      <c r="P99" t="n">
        <v>0</v>
      </c>
      <c r="Q99" s="4">
        <f>+E99-K99</f>
        <v/>
      </c>
      <c r="R99" s="4">
        <f>+F99-L99</f>
        <v/>
      </c>
      <c r="S99" s="4">
        <f>+G99-M99</f>
        <v/>
      </c>
      <c r="T99" s="4">
        <f>+H99-N99</f>
        <v/>
      </c>
      <c r="U99" s="4">
        <f>+I99-O99</f>
        <v/>
      </c>
      <c r="V99" t="n">
        <v>0</v>
      </c>
      <c r="W99">
        <f>VLOOKUP(A99,'GST Wise Reco'!$A$4:$T$30,20,0)</f>
        <v/>
      </c>
      <c r="X99" t="inlineStr">
        <is>
          <t>Book And 2B Match</t>
        </is>
      </c>
      <c r="Y99" s="5" t="inlineStr">
        <is>
          <t>Book And 2B Match</t>
        </is>
      </c>
    </row>
    <row r="100">
      <c r="A100" t="inlineStr">
        <is>
          <t>AAICT8273F</t>
        </is>
      </c>
      <c r="B100" t="inlineStr">
        <is>
          <t>AAICT8273F_TW/2025-26/1076</t>
        </is>
      </c>
      <c r="D100" t="n">
        <v>0</v>
      </c>
      <c r="E100" s="4">
        <f>SUMIF(Book!$G:$G,$B100,Book!J:J)</f>
        <v/>
      </c>
      <c r="F100" s="4">
        <f>SUMIF(Book!$G:$G,$B100,Book!L:L)</f>
        <v/>
      </c>
      <c r="G100" s="4">
        <f>SUMIF(Book!$G:$G,$B100,Book!M:M)</f>
        <v/>
      </c>
      <c r="H100" s="4">
        <f>SUMIF(Book!$G:$G,$B100,Book!N:N)</f>
        <v/>
      </c>
      <c r="I100" s="4">
        <f>SUMIF(Book!$G:$G,$B100,Book!O:O)</f>
        <v/>
      </c>
      <c r="J100" t="n">
        <v>0</v>
      </c>
      <c r="K100" s="4">
        <f>SUMIF('GSTR-2B'!$G:$G,$B100,'GSTR-2B'!J:J)</f>
        <v/>
      </c>
      <c r="L100" s="4">
        <f>SUMIF('GSTR-2B'!$G:$G,$B100,'GSTR-2B'!L:L)</f>
        <v/>
      </c>
      <c r="M100" s="4">
        <f>SUMIF('GSTR-2B'!$G:$G,$B100,'GSTR-2B'!M:M)</f>
        <v/>
      </c>
      <c r="N100" s="4">
        <f>SUMIF('GSTR-2B'!$G:$G,$B100,'GSTR-2B'!N:N)</f>
        <v/>
      </c>
      <c r="O100" s="4">
        <f>SUMIF('GSTR-2B'!$G:$G,$B100,'GSTR-2B'!O:O)</f>
        <v/>
      </c>
      <c r="P100" t="n">
        <v>0</v>
      </c>
      <c r="Q100" s="4">
        <f>+E100-K100</f>
        <v/>
      </c>
      <c r="R100" s="4">
        <f>+F100-L100</f>
        <v/>
      </c>
      <c r="S100" s="4">
        <f>+G100-M100</f>
        <v/>
      </c>
      <c r="T100" s="4">
        <f>+H100-N100</f>
        <v/>
      </c>
      <c r="U100" s="4">
        <f>+I100-O100</f>
        <v/>
      </c>
      <c r="V100" t="n">
        <v>0</v>
      </c>
      <c r="W100">
        <f>VLOOKUP(A100,'GST Wise Reco'!$A$4:$T$30,20,0)</f>
        <v/>
      </c>
      <c r="X100" t="inlineStr">
        <is>
          <t>Book And 2B Match</t>
        </is>
      </c>
      <c r="Y100" s="5" t="inlineStr">
        <is>
          <t>Book And 2B Match</t>
        </is>
      </c>
    </row>
    <row r="101">
      <c r="A101" t="inlineStr">
        <is>
          <t>AAICT8273F</t>
        </is>
      </c>
      <c r="B101" t="inlineStr">
        <is>
          <t>AAICT8273F_TW/2025-26/1086</t>
        </is>
      </c>
      <c r="D101" t="n">
        <v>0</v>
      </c>
      <c r="E101" s="4">
        <f>SUMIF(Book!$G:$G,$B101,Book!J:J)</f>
        <v/>
      </c>
      <c r="F101" s="4">
        <f>SUMIF(Book!$G:$G,$B101,Book!L:L)</f>
        <v/>
      </c>
      <c r="G101" s="4">
        <f>SUMIF(Book!$G:$G,$B101,Book!M:M)</f>
        <v/>
      </c>
      <c r="H101" s="4">
        <f>SUMIF(Book!$G:$G,$B101,Book!N:N)</f>
        <v/>
      </c>
      <c r="I101" s="4">
        <f>SUMIF(Book!$G:$G,$B101,Book!O:O)</f>
        <v/>
      </c>
      <c r="J101" t="n">
        <v>0</v>
      </c>
      <c r="K101" s="4">
        <f>SUMIF('GSTR-2B'!$G:$G,$B101,'GSTR-2B'!J:J)</f>
        <v/>
      </c>
      <c r="L101" s="4">
        <f>SUMIF('GSTR-2B'!$G:$G,$B101,'GSTR-2B'!L:L)</f>
        <v/>
      </c>
      <c r="M101" s="4">
        <f>SUMIF('GSTR-2B'!$G:$G,$B101,'GSTR-2B'!M:M)</f>
        <v/>
      </c>
      <c r="N101" s="4">
        <f>SUMIF('GSTR-2B'!$G:$G,$B101,'GSTR-2B'!N:N)</f>
        <v/>
      </c>
      <c r="O101" s="4">
        <f>SUMIF('GSTR-2B'!$G:$G,$B101,'GSTR-2B'!O:O)</f>
        <v/>
      </c>
      <c r="P101" t="n">
        <v>0</v>
      </c>
      <c r="Q101" s="4">
        <f>+E101-K101</f>
        <v/>
      </c>
      <c r="R101" s="4">
        <f>+F101-L101</f>
        <v/>
      </c>
      <c r="S101" s="4">
        <f>+G101-M101</f>
        <v/>
      </c>
      <c r="T101" s="4">
        <f>+H101-N101</f>
        <v/>
      </c>
      <c r="U101" s="4">
        <f>+I101-O101</f>
        <v/>
      </c>
      <c r="V101" t="n">
        <v>0</v>
      </c>
      <c r="W101">
        <f>VLOOKUP(A101,'GST Wise Reco'!$A$4:$T$30,20,0)</f>
        <v/>
      </c>
      <c r="X101" t="inlineStr">
        <is>
          <t>Book And 2B Match</t>
        </is>
      </c>
      <c r="Y101" s="5" t="inlineStr">
        <is>
          <t>Book And 2B Match</t>
        </is>
      </c>
    </row>
    <row r="102">
      <c r="A102" t="inlineStr">
        <is>
          <t>AAICT8273F</t>
        </is>
      </c>
      <c r="B102" t="inlineStr">
        <is>
          <t>AAICT8273F_TW/25-26/1001</t>
        </is>
      </c>
      <c r="D102" t="n">
        <v>0</v>
      </c>
      <c r="E102" s="4">
        <f>SUMIF(Book!$G:$G,$B102,Book!J:J)</f>
        <v/>
      </c>
      <c r="F102" s="4">
        <f>SUMIF(Book!$G:$G,$B102,Book!L:L)</f>
        <v/>
      </c>
      <c r="G102" s="4">
        <f>SUMIF(Book!$G:$G,$B102,Book!M:M)</f>
        <v/>
      </c>
      <c r="H102" s="4">
        <f>SUMIF(Book!$G:$G,$B102,Book!N:N)</f>
        <v/>
      </c>
      <c r="I102" s="4">
        <f>SUMIF(Book!$G:$G,$B102,Book!O:O)</f>
        <v/>
      </c>
      <c r="J102" t="n">
        <v>0</v>
      </c>
      <c r="K102" s="4">
        <f>SUMIF('GSTR-2B'!$G:$G,$B102,'GSTR-2B'!J:J)</f>
        <v/>
      </c>
      <c r="L102" s="4">
        <f>SUMIF('GSTR-2B'!$G:$G,$B102,'GSTR-2B'!L:L)</f>
        <v/>
      </c>
      <c r="M102" s="4">
        <f>SUMIF('GSTR-2B'!$G:$G,$B102,'GSTR-2B'!M:M)</f>
        <v/>
      </c>
      <c r="N102" s="4">
        <f>SUMIF('GSTR-2B'!$G:$G,$B102,'GSTR-2B'!N:N)</f>
        <v/>
      </c>
      <c r="O102" s="4">
        <f>SUMIF('GSTR-2B'!$G:$G,$B102,'GSTR-2B'!O:O)</f>
        <v/>
      </c>
      <c r="P102" t="n">
        <v>0</v>
      </c>
      <c r="Q102" s="4">
        <f>+E102-K102</f>
        <v/>
      </c>
      <c r="R102" s="4">
        <f>+F102-L102</f>
        <v/>
      </c>
      <c r="S102" s="4">
        <f>+G102-M102</f>
        <v/>
      </c>
      <c r="T102" s="4">
        <f>+H102-N102</f>
        <v/>
      </c>
      <c r="U102" s="4">
        <f>+I102-O102</f>
        <v/>
      </c>
      <c r="V102" t="n">
        <v>0</v>
      </c>
      <c r="W102">
        <f>VLOOKUP(A102,'GST Wise Reco'!$A$4:$T$30,20,0)</f>
        <v/>
      </c>
      <c r="X102" t="inlineStr">
        <is>
          <t>Book And 2B Match-Invocies No Mis-Match</t>
        </is>
      </c>
      <c r="Y102" s="5" t="inlineStr">
        <is>
          <t>Book And 2B Match</t>
        </is>
      </c>
    </row>
    <row r="103">
      <c r="A103" t="inlineStr">
        <is>
          <t>AAICT8273F</t>
        </is>
      </c>
      <c r="B103" t="inlineStr">
        <is>
          <t>AAICT8273F_TW/25-26/1012</t>
        </is>
      </c>
      <c r="D103" t="n">
        <v>0</v>
      </c>
      <c r="E103" s="4">
        <f>SUMIF(Book!$G:$G,$B103,Book!J:J)</f>
        <v/>
      </c>
      <c r="F103" s="4">
        <f>SUMIF(Book!$G:$G,$B103,Book!L:L)</f>
        <v/>
      </c>
      <c r="G103" s="4">
        <f>SUMIF(Book!$G:$G,$B103,Book!M:M)</f>
        <v/>
      </c>
      <c r="H103" s="4">
        <f>SUMIF(Book!$G:$G,$B103,Book!N:N)</f>
        <v/>
      </c>
      <c r="I103" s="4">
        <f>SUMIF(Book!$G:$G,$B103,Book!O:O)</f>
        <v/>
      </c>
      <c r="J103" t="n">
        <v>0</v>
      </c>
      <c r="K103" s="4">
        <f>SUMIF('GSTR-2B'!$G:$G,$B103,'GSTR-2B'!J:J)</f>
        <v/>
      </c>
      <c r="L103" s="4">
        <f>SUMIF('GSTR-2B'!$G:$G,$B103,'GSTR-2B'!L:L)</f>
        <v/>
      </c>
      <c r="M103" s="4">
        <f>SUMIF('GSTR-2B'!$G:$G,$B103,'GSTR-2B'!M:M)</f>
        <v/>
      </c>
      <c r="N103" s="4">
        <f>SUMIF('GSTR-2B'!$G:$G,$B103,'GSTR-2B'!N:N)</f>
        <v/>
      </c>
      <c r="O103" s="4">
        <f>SUMIF('GSTR-2B'!$G:$G,$B103,'GSTR-2B'!O:O)</f>
        <v/>
      </c>
      <c r="P103" t="n">
        <v>0</v>
      </c>
      <c r="Q103" s="4">
        <f>+E103-K103</f>
        <v/>
      </c>
      <c r="R103" s="4">
        <f>+F103-L103</f>
        <v/>
      </c>
      <c r="S103" s="4">
        <f>+G103-M103</f>
        <v/>
      </c>
      <c r="T103" s="4">
        <f>+H103-N103</f>
        <v/>
      </c>
      <c r="U103" s="4">
        <f>+I103-O103</f>
        <v/>
      </c>
      <c r="V103" t="n">
        <v>0</v>
      </c>
      <c r="W103">
        <f>VLOOKUP(A103,'GST Wise Reco'!$A$4:$T$30,20,0)</f>
        <v/>
      </c>
      <c r="X103" t="inlineStr">
        <is>
          <t>Book And 2B Match-Invocies No Mis-Match</t>
        </is>
      </c>
      <c r="Y103" s="5" t="inlineStr">
        <is>
          <t>Book And 2B Match</t>
        </is>
      </c>
    </row>
    <row r="104">
      <c r="A104" t="inlineStr">
        <is>
          <t>AAKCG3365R</t>
        </is>
      </c>
      <c r="B104" t="inlineStr">
        <is>
          <t>AAKCG3365R_RC-3126</t>
        </is>
      </c>
      <c r="D104" t="n">
        <v>0</v>
      </c>
      <c r="E104" s="4">
        <f>SUMIF(Book!$G:$G,$B104,Book!J:J)</f>
        <v/>
      </c>
      <c r="F104" s="4">
        <f>SUMIF(Book!$G:$G,$B104,Book!L:L)</f>
        <v/>
      </c>
      <c r="G104" s="4">
        <f>SUMIF(Book!$G:$G,$B104,Book!M:M)</f>
        <v/>
      </c>
      <c r="H104" s="4">
        <f>SUMIF(Book!$G:$G,$B104,Book!N:N)</f>
        <v/>
      </c>
      <c r="I104" s="4">
        <f>SUMIF(Book!$G:$G,$B104,Book!O:O)</f>
        <v/>
      </c>
      <c r="J104" t="n">
        <v>0</v>
      </c>
      <c r="K104" s="4">
        <f>SUMIF('GSTR-2B'!$G:$G,$B104,'GSTR-2B'!J:J)</f>
        <v/>
      </c>
      <c r="L104" s="4">
        <f>SUMIF('GSTR-2B'!$G:$G,$B104,'GSTR-2B'!L:L)</f>
        <v/>
      </c>
      <c r="M104" s="4">
        <f>SUMIF('GSTR-2B'!$G:$G,$B104,'GSTR-2B'!M:M)</f>
        <v/>
      </c>
      <c r="N104" s="4">
        <f>SUMIF('GSTR-2B'!$G:$G,$B104,'GSTR-2B'!N:N)</f>
        <v/>
      </c>
      <c r="O104" s="4">
        <f>SUMIF('GSTR-2B'!$G:$G,$B104,'GSTR-2B'!O:O)</f>
        <v/>
      </c>
      <c r="P104" t="n">
        <v>0</v>
      </c>
      <c r="Q104" s="4">
        <f>+E104-K104</f>
        <v/>
      </c>
      <c r="R104" s="4">
        <f>+F104-L104</f>
        <v/>
      </c>
      <c r="S104" s="4">
        <f>+G104-M104</f>
        <v/>
      </c>
      <c r="T104" s="4">
        <f>+H104-N104</f>
        <v/>
      </c>
      <c r="U104" s="4">
        <f>+I104-O104</f>
        <v/>
      </c>
      <c r="V104" t="n">
        <v>0</v>
      </c>
      <c r="W104">
        <f>VLOOKUP(A104,'GST Wise Reco'!$A$4:$T$30,20,0)</f>
        <v/>
      </c>
      <c r="X104" t="inlineStr">
        <is>
          <t xml:space="preserve">Only for the book </t>
        </is>
      </c>
      <c r="Y104" s="6" t="inlineStr">
        <is>
          <t xml:space="preserve">Only for the book </t>
        </is>
      </c>
    </row>
    <row r="105">
      <c r="A105" t="inlineStr">
        <is>
          <t>AAKCG3365R</t>
        </is>
      </c>
      <c r="B105" t="inlineStr">
        <is>
          <t>AAKCG3365R_RC-3360</t>
        </is>
      </c>
      <c r="D105" t="n">
        <v>0</v>
      </c>
      <c r="E105" s="4">
        <f>SUMIF(Book!$G:$G,$B105,Book!J:J)</f>
        <v/>
      </c>
      <c r="F105" s="4">
        <f>SUMIF(Book!$G:$G,$B105,Book!L:L)</f>
        <v/>
      </c>
      <c r="G105" s="4">
        <f>SUMIF(Book!$G:$G,$B105,Book!M:M)</f>
        <v/>
      </c>
      <c r="H105" s="4">
        <f>SUMIF(Book!$G:$G,$B105,Book!N:N)</f>
        <v/>
      </c>
      <c r="I105" s="4">
        <f>SUMIF(Book!$G:$G,$B105,Book!O:O)</f>
        <v/>
      </c>
      <c r="J105" t="n">
        <v>0</v>
      </c>
      <c r="K105" s="4">
        <f>SUMIF('GSTR-2B'!$G:$G,$B105,'GSTR-2B'!J:J)</f>
        <v/>
      </c>
      <c r="L105" s="4">
        <f>SUMIF('GSTR-2B'!$G:$G,$B105,'GSTR-2B'!L:L)</f>
        <v/>
      </c>
      <c r="M105" s="4">
        <f>SUMIF('GSTR-2B'!$G:$G,$B105,'GSTR-2B'!M:M)</f>
        <v/>
      </c>
      <c r="N105" s="4">
        <f>SUMIF('GSTR-2B'!$G:$G,$B105,'GSTR-2B'!N:N)</f>
        <v/>
      </c>
      <c r="O105" s="4">
        <f>SUMIF('GSTR-2B'!$G:$G,$B105,'GSTR-2B'!O:O)</f>
        <v/>
      </c>
      <c r="P105" t="n">
        <v>0</v>
      </c>
      <c r="Q105" s="4">
        <f>+E105-K105</f>
        <v/>
      </c>
      <c r="R105" s="4">
        <f>+F105-L105</f>
        <v/>
      </c>
      <c r="S105" s="4">
        <f>+G105-M105</f>
        <v/>
      </c>
      <c r="T105" s="4">
        <f>+H105-N105</f>
        <v/>
      </c>
      <c r="U105" s="4">
        <f>+I105-O105</f>
        <v/>
      </c>
      <c r="V105" t="n">
        <v>0</v>
      </c>
      <c r="W105">
        <f>VLOOKUP(A105,'GST Wise Reco'!$A$4:$T$30,20,0)</f>
        <v/>
      </c>
      <c r="X105" t="inlineStr">
        <is>
          <t>Book And 2B Match</t>
        </is>
      </c>
      <c r="Y105" s="5" t="inlineStr">
        <is>
          <t>Book And 2B Match</t>
        </is>
      </c>
    </row>
    <row r="106">
      <c r="A106" t="inlineStr">
        <is>
          <t>AAKCG3365R</t>
        </is>
      </c>
      <c r="B106" t="inlineStr">
        <is>
          <t>AAKCG3365R_RC-3556</t>
        </is>
      </c>
      <c r="D106" t="n">
        <v>0</v>
      </c>
      <c r="E106" s="4">
        <f>SUMIF(Book!$G:$G,$B106,Book!J:J)</f>
        <v/>
      </c>
      <c r="F106" s="4">
        <f>SUMIF(Book!$G:$G,$B106,Book!L:L)</f>
        <v/>
      </c>
      <c r="G106" s="4">
        <f>SUMIF(Book!$G:$G,$B106,Book!M:M)</f>
        <v/>
      </c>
      <c r="H106" s="4">
        <f>SUMIF(Book!$G:$G,$B106,Book!N:N)</f>
        <v/>
      </c>
      <c r="I106" s="4">
        <f>SUMIF(Book!$G:$G,$B106,Book!O:O)</f>
        <v/>
      </c>
      <c r="J106" t="n">
        <v>0</v>
      </c>
      <c r="K106" s="4">
        <f>SUMIF('GSTR-2B'!$G:$G,$B106,'GSTR-2B'!J:J)</f>
        <v/>
      </c>
      <c r="L106" s="4">
        <f>SUMIF('GSTR-2B'!$G:$G,$B106,'GSTR-2B'!L:L)</f>
        <v/>
      </c>
      <c r="M106" s="4">
        <f>SUMIF('GSTR-2B'!$G:$G,$B106,'GSTR-2B'!M:M)</f>
        <v/>
      </c>
      <c r="N106" s="4">
        <f>SUMIF('GSTR-2B'!$G:$G,$B106,'GSTR-2B'!N:N)</f>
        <v/>
      </c>
      <c r="O106" s="4">
        <f>SUMIF('GSTR-2B'!$G:$G,$B106,'GSTR-2B'!O:O)</f>
        <v/>
      </c>
      <c r="P106" t="n">
        <v>0</v>
      </c>
      <c r="Q106" s="4">
        <f>+E106-K106</f>
        <v/>
      </c>
      <c r="R106" s="4">
        <f>+F106-L106</f>
        <v/>
      </c>
      <c r="S106" s="4">
        <f>+G106-M106</f>
        <v/>
      </c>
      <c r="T106" s="4">
        <f>+H106-N106</f>
        <v/>
      </c>
      <c r="U106" s="4">
        <f>+I106-O106</f>
        <v/>
      </c>
      <c r="V106" t="n">
        <v>0</v>
      </c>
      <c r="W106">
        <f>VLOOKUP(A106,'GST Wise Reco'!$A$4:$T$30,20,0)</f>
        <v/>
      </c>
      <c r="X106" t="inlineStr">
        <is>
          <t xml:space="preserve">Only for the book </t>
        </is>
      </c>
      <c r="Y106" s="6" t="inlineStr">
        <is>
          <t xml:space="preserve">Only for the book </t>
        </is>
      </c>
    </row>
    <row r="107">
      <c r="A107" t="inlineStr">
        <is>
          <t>AAKCG3365R</t>
        </is>
      </c>
      <c r="B107" t="inlineStr">
        <is>
          <t>AAKCG3365R_RC-3766</t>
        </is>
      </c>
      <c r="D107" t="n">
        <v>0</v>
      </c>
      <c r="E107" s="4">
        <f>SUMIF(Book!$G:$G,$B107,Book!J:J)</f>
        <v/>
      </c>
      <c r="F107" s="4">
        <f>SUMIF(Book!$G:$G,$B107,Book!L:L)</f>
        <v/>
      </c>
      <c r="G107" s="4">
        <f>SUMIF(Book!$G:$G,$B107,Book!M:M)</f>
        <v/>
      </c>
      <c r="H107" s="4">
        <f>SUMIF(Book!$G:$G,$B107,Book!N:N)</f>
        <v/>
      </c>
      <c r="I107" s="4">
        <f>SUMIF(Book!$G:$G,$B107,Book!O:O)</f>
        <v/>
      </c>
      <c r="J107" t="n">
        <v>0</v>
      </c>
      <c r="K107" s="4">
        <f>SUMIF('GSTR-2B'!$G:$G,$B107,'GSTR-2B'!J:J)</f>
        <v/>
      </c>
      <c r="L107" s="4">
        <f>SUMIF('GSTR-2B'!$G:$G,$B107,'GSTR-2B'!L:L)</f>
        <v/>
      </c>
      <c r="M107" s="4">
        <f>SUMIF('GSTR-2B'!$G:$G,$B107,'GSTR-2B'!M:M)</f>
        <v/>
      </c>
      <c r="N107" s="4">
        <f>SUMIF('GSTR-2B'!$G:$G,$B107,'GSTR-2B'!N:N)</f>
        <v/>
      </c>
      <c r="O107" s="4">
        <f>SUMIF('GSTR-2B'!$G:$G,$B107,'GSTR-2B'!O:O)</f>
        <v/>
      </c>
      <c r="P107" t="n">
        <v>0</v>
      </c>
      <c r="Q107" s="4">
        <f>+E107-K107</f>
        <v/>
      </c>
      <c r="R107" s="4">
        <f>+F107-L107</f>
        <v/>
      </c>
      <c r="S107" s="4">
        <f>+G107-M107</f>
        <v/>
      </c>
      <c r="T107" s="4">
        <f>+H107-N107</f>
        <v/>
      </c>
      <c r="U107" s="4">
        <f>+I107-O107</f>
        <v/>
      </c>
      <c r="V107" t="n">
        <v>0</v>
      </c>
      <c r="W107">
        <f>VLOOKUP(A107,'GST Wise Reco'!$A$4:$T$30,20,0)</f>
        <v/>
      </c>
      <c r="X107" t="inlineStr">
        <is>
          <t>Book And 2B Match</t>
        </is>
      </c>
      <c r="Y107" s="5" t="inlineStr">
        <is>
          <t>Book And 2B Match</t>
        </is>
      </c>
    </row>
    <row r="108">
      <c r="A108" t="inlineStr">
        <is>
          <t>AAKCG3365R</t>
        </is>
      </c>
      <c r="B108" t="inlineStr">
        <is>
          <t>AAKCG3365R_RC-4223</t>
        </is>
      </c>
      <c r="D108" t="n">
        <v>0</v>
      </c>
      <c r="E108" s="4">
        <f>SUMIF(Book!$G:$G,$B108,Book!J:J)</f>
        <v/>
      </c>
      <c r="F108" s="4">
        <f>SUMIF(Book!$G:$G,$B108,Book!L:L)</f>
        <v/>
      </c>
      <c r="G108" s="4">
        <f>SUMIF(Book!$G:$G,$B108,Book!M:M)</f>
        <v/>
      </c>
      <c r="H108" s="4">
        <f>SUMIF(Book!$G:$G,$B108,Book!N:N)</f>
        <v/>
      </c>
      <c r="I108" s="4">
        <f>SUMIF(Book!$G:$G,$B108,Book!O:O)</f>
        <v/>
      </c>
      <c r="J108" t="n">
        <v>0</v>
      </c>
      <c r="K108" s="4">
        <f>SUMIF('GSTR-2B'!$G:$G,$B108,'GSTR-2B'!J:J)</f>
        <v/>
      </c>
      <c r="L108" s="4">
        <f>SUMIF('GSTR-2B'!$G:$G,$B108,'GSTR-2B'!L:L)</f>
        <v/>
      </c>
      <c r="M108" s="4">
        <f>SUMIF('GSTR-2B'!$G:$G,$B108,'GSTR-2B'!M:M)</f>
        <v/>
      </c>
      <c r="N108" s="4">
        <f>SUMIF('GSTR-2B'!$G:$G,$B108,'GSTR-2B'!N:N)</f>
        <v/>
      </c>
      <c r="O108" s="4">
        <f>SUMIF('GSTR-2B'!$G:$G,$B108,'GSTR-2B'!O:O)</f>
        <v/>
      </c>
      <c r="P108" t="n">
        <v>0</v>
      </c>
      <c r="Q108" s="4">
        <f>+E108-K108</f>
        <v/>
      </c>
      <c r="R108" s="4">
        <f>+F108-L108</f>
        <v/>
      </c>
      <c r="S108" s="4">
        <f>+G108-M108</f>
        <v/>
      </c>
      <c r="T108" s="4">
        <f>+H108-N108</f>
        <v/>
      </c>
      <c r="U108" s="4">
        <f>+I108-O108</f>
        <v/>
      </c>
      <c r="V108" t="n">
        <v>0</v>
      </c>
      <c r="W108">
        <f>VLOOKUP(A108,'GST Wise Reco'!$A$4:$T$30,20,0)</f>
        <v/>
      </c>
      <c r="X108" t="inlineStr">
        <is>
          <t>Book And 2B Match-Invocies No Mis-Match</t>
        </is>
      </c>
      <c r="Y108" s="6" t="inlineStr">
        <is>
          <t>Book And 2B Match-Invocies No Mis-Match</t>
        </is>
      </c>
    </row>
    <row r="109">
      <c r="A109" t="inlineStr">
        <is>
          <t>AAKCG3365R</t>
        </is>
      </c>
      <c r="B109" t="inlineStr">
        <is>
          <t>AAKCG3365R_RC-4546</t>
        </is>
      </c>
      <c r="D109" t="n">
        <v>0</v>
      </c>
      <c r="E109" s="4">
        <f>SUMIF(Book!$G:$G,$B109,Book!J:J)</f>
        <v/>
      </c>
      <c r="F109" s="4">
        <f>SUMIF(Book!$G:$G,$B109,Book!L:L)</f>
        <v/>
      </c>
      <c r="G109" s="4">
        <f>SUMIF(Book!$G:$G,$B109,Book!M:M)</f>
        <v/>
      </c>
      <c r="H109" s="4">
        <f>SUMIF(Book!$G:$G,$B109,Book!N:N)</f>
        <v/>
      </c>
      <c r="I109" s="4">
        <f>SUMIF(Book!$G:$G,$B109,Book!O:O)</f>
        <v/>
      </c>
      <c r="J109" t="n">
        <v>0</v>
      </c>
      <c r="K109" s="4">
        <f>SUMIF('GSTR-2B'!$G:$G,$B109,'GSTR-2B'!J:J)</f>
        <v/>
      </c>
      <c r="L109" s="4">
        <f>SUMIF('GSTR-2B'!$G:$G,$B109,'GSTR-2B'!L:L)</f>
        <v/>
      </c>
      <c r="M109" s="4">
        <f>SUMIF('GSTR-2B'!$G:$G,$B109,'GSTR-2B'!M:M)</f>
        <v/>
      </c>
      <c r="N109" s="4">
        <f>SUMIF('GSTR-2B'!$G:$G,$B109,'GSTR-2B'!N:N)</f>
        <v/>
      </c>
      <c r="O109" s="4">
        <f>SUMIF('GSTR-2B'!$G:$G,$B109,'GSTR-2B'!O:O)</f>
        <v/>
      </c>
      <c r="P109" t="n">
        <v>0</v>
      </c>
      <c r="Q109" s="4">
        <f>+E109-K109</f>
        <v/>
      </c>
      <c r="R109" s="4">
        <f>+F109-L109</f>
        <v/>
      </c>
      <c r="S109" s="4">
        <f>+G109-M109</f>
        <v/>
      </c>
      <c r="T109" s="4">
        <f>+H109-N109</f>
        <v/>
      </c>
      <c r="U109" s="4">
        <f>+I109-O109</f>
        <v/>
      </c>
      <c r="V109" t="n">
        <v>0</v>
      </c>
      <c r="W109">
        <f>VLOOKUP(A109,'GST Wise Reco'!$A$4:$T$30,20,0)</f>
        <v/>
      </c>
      <c r="X109" t="inlineStr">
        <is>
          <t>Book And 2B Match-Invocies No Mis-Match</t>
        </is>
      </c>
      <c r="Y109" s="6" t="inlineStr">
        <is>
          <t>Book And 2B Match-Invocies No Mis-Match</t>
        </is>
      </c>
    </row>
    <row r="110">
      <c r="A110" t="inlineStr">
        <is>
          <t>AAKCG3365R</t>
        </is>
      </c>
      <c r="B110" t="inlineStr">
        <is>
          <t>AAKCG3365R_RC4223</t>
        </is>
      </c>
      <c r="D110" t="n">
        <v>0</v>
      </c>
      <c r="E110" s="4">
        <f>SUMIF(Book!$G:$G,$B110,Book!J:J)</f>
        <v/>
      </c>
      <c r="F110" s="4">
        <f>SUMIF(Book!$G:$G,$B110,Book!L:L)</f>
        <v/>
      </c>
      <c r="G110" s="4">
        <f>SUMIF(Book!$G:$G,$B110,Book!M:M)</f>
        <v/>
      </c>
      <c r="H110" s="4">
        <f>SUMIF(Book!$G:$G,$B110,Book!N:N)</f>
        <v/>
      </c>
      <c r="I110" s="4">
        <f>SUMIF(Book!$G:$G,$B110,Book!O:O)</f>
        <v/>
      </c>
      <c r="J110" t="n">
        <v>0</v>
      </c>
      <c r="K110" s="4">
        <f>SUMIF('GSTR-2B'!$G:$G,$B110,'GSTR-2B'!J:J)</f>
        <v/>
      </c>
      <c r="L110" s="4">
        <f>SUMIF('GSTR-2B'!$G:$G,$B110,'GSTR-2B'!L:L)</f>
        <v/>
      </c>
      <c r="M110" s="4">
        <f>SUMIF('GSTR-2B'!$G:$G,$B110,'GSTR-2B'!M:M)</f>
        <v/>
      </c>
      <c r="N110" s="4">
        <f>SUMIF('GSTR-2B'!$G:$G,$B110,'GSTR-2B'!N:N)</f>
        <v/>
      </c>
      <c r="O110" s="4">
        <f>SUMIF('GSTR-2B'!$G:$G,$B110,'GSTR-2B'!O:O)</f>
        <v/>
      </c>
      <c r="P110" t="n">
        <v>0</v>
      </c>
      <c r="Q110" s="4">
        <f>+E110-K110</f>
        <v/>
      </c>
      <c r="R110" s="4">
        <f>+F110-L110</f>
        <v/>
      </c>
      <c r="S110" s="4">
        <f>+G110-M110</f>
        <v/>
      </c>
      <c r="T110" s="4">
        <f>+H110-N110</f>
        <v/>
      </c>
      <c r="U110" s="4">
        <f>+I110-O110</f>
        <v/>
      </c>
      <c r="V110" t="n">
        <v>0</v>
      </c>
      <c r="W110">
        <f>VLOOKUP(A110,'GST Wise Reco'!$A$4:$T$30,20,0)</f>
        <v/>
      </c>
      <c r="X110" t="inlineStr">
        <is>
          <t>Book And 2B Match-Invocies No Mis-Match</t>
        </is>
      </c>
      <c r="Y110" s="6" t="inlineStr">
        <is>
          <t>Book And 2B Match-Invocies No Mis-Match</t>
        </is>
      </c>
    </row>
    <row r="111">
      <c r="A111" t="inlineStr">
        <is>
          <t>AAKCG3365R</t>
        </is>
      </c>
      <c r="B111" t="inlineStr">
        <is>
          <t>AAKCG3365R_RC4546</t>
        </is>
      </c>
      <c r="D111" t="n">
        <v>0</v>
      </c>
      <c r="E111" s="4">
        <f>SUMIF(Book!$G:$G,$B111,Book!J:J)</f>
        <v/>
      </c>
      <c r="F111" s="4">
        <f>SUMIF(Book!$G:$G,$B111,Book!L:L)</f>
        <v/>
      </c>
      <c r="G111" s="4">
        <f>SUMIF(Book!$G:$G,$B111,Book!M:M)</f>
        <v/>
      </c>
      <c r="H111" s="4">
        <f>SUMIF(Book!$G:$G,$B111,Book!N:N)</f>
        <v/>
      </c>
      <c r="I111" s="4">
        <f>SUMIF(Book!$G:$G,$B111,Book!O:O)</f>
        <v/>
      </c>
      <c r="J111" t="n">
        <v>0</v>
      </c>
      <c r="K111" s="4">
        <f>SUMIF('GSTR-2B'!$G:$G,$B111,'GSTR-2B'!J:J)</f>
        <v/>
      </c>
      <c r="L111" s="4">
        <f>SUMIF('GSTR-2B'!$G:$G,$B111,'GSTR-2B'!L:L)</f>
        <v/>
      </c>
      <c r="M111" s="4">
        <f>SUMIF('GSTR-2B'!$G:$G,$B111,'GSTR-2B'!M:M)</f>
        <v/>
      </c>
      <c r="N111" s="4">
        <f>SUMIF('GSTR-2B'!$G:$G,$B111,'GSTR-2B'!N:N)</f>
        <v/>
      </c>
      <c r="O111" s="4">
        <f>SUMIF('GSTR-2B'!$G:$G,$B111,'GSTR-2B'!O:O)</f>
        <v/>
      </c>
      <c r="P111" t="n">
        <v>0</v>
      </c>
      <c r="Q111" s="4">
        <f>+E111-K111</f>
        <v/>
      </c>
      <c r="R111" s="4">
        <f>+F111-L111</f>
        <v/>
      </c>
      <c r="S111" s="4">
        <f>+G111-M111</f>
        <v/>
      </c>
      <c r="T111" s="4">
        <f>+H111-N111</f>
        <v/>
      </c>
      <c r="U111" s="4">
        <f>+I111-O111</f>
        <v/>
      </c>
      <c r="V111" t="n">
        <v>0</v>
      </c>
      <c r="W111">
        <f>VLOOKUP(A111,'GST Wise Reco'!$A$4:$T$30,20,0)</f>
        <v/>
      </c>
      <c r="X111" t="inlineStr">
        <is>
          <t>Book And 2B Match-Invocies No Mis-Match</t>
        </is>
      </c>
      <c r="Y111" s="6" t="inlineStr">
        <is>
          <t>Book And 2B Match-Invocies No Mis-Match</t>
        </is>
      </c>
    </row>
    <row r="112">
      <c r="A112" t="inlineStr">
        <is>
          <t>AALCB9501D</t>
        </is>
      </c>
      <c r="B112" t="inlineStr">
        <is>
          <t>AALCB9501D_BMPL0036</t>
        </is>
      </c>
      <c r="D112" t="n">
        <v>0</v>
      </c>
      <c r="E112" s="4">
        <f>SUMIF(Book!$G:$G,$B112,Book!J:J)</f>
        <v/>
      </c>
      <c r="F112" s="4">
        <f>SUMIF(Book!$G:$G,$B112,Book!L:L)</f>
        <v/>
      </c>
      <c r="G112" s="4">
        <f>SUMIF(Book!$G:$G,$B112,Book!M:M)</f>
        <v/>
      </c>
      <c r="H112" s="4">
        <f>SUMIF(Book!$G:$G,$B112,Book!N:N)</f>
        <v/>
      </c>
      <c r="I112" s="4">
        <f>SUMIF(Book!$G:$G,$B112,Book!O:O)</f>
        <v/>
      </c>
      <c r="J112" t="n">
        <v>0</v>
      </c>
      <c r="K112" s="4">
        <f>SUMIF('GSTR-2B'!$G:$G,$B112,'GSTR-2B'!J:J)</f>
        <v/>
      </c>
      <c r="L112" s="4">
        <f>SUMIF('GSTR-2B'!$G:$G,$B112,'GSTR-2B'!L:L)</f>
        <v/>
      </c>
      <c r="M112" s="4">
        <f>SUMIF('GSTR-2B'!$G:$G,$B112,'GSTR-2B'!M:M)</f>
        <v/>
      </c>
      <c r="N112" s="4">
        <f>SUMIF('GSTR-2B'!$G:$G,$B112,'GSTR-2B'!N:N)</f>
        <v/>
      </c>
      <c r="O112" s="4">
        <f>SUMIF('GSTR-2B'!$G:$G,$B112,'GSTR-2B'!O:O)</f>
        <v/>
      </c>
      <c r="P112" t="n">
        <v>0</v>
      </c>
      <c r="Q112" s="4">
        <f>+E112-K112</f>
        <v/>
      </c>
      <c r="R112" s="4">
        <f>+F112-L112</f>
        <v/>
      </c>
      <c r="S112" s="4">
        <f>+G112-M112</f>
        <v/>
      </c>
      <c r="T112" s="4">
        <f>+H112-N112</f>
        <v/>
      </c>
      <c r="U112" s="4">
        <f>+I112-O112</f>
        <v/>
      </c>
      <c r="V112" t="n">
        <v>0</v>
      </c>
      <c r="W112">
        <f>VLOOKUP(A112,'GST Wise Reco'!$A$4:$T$30,20,0)</f>
        <v/>
      </c>
      <c r="X112" t="inlineStr">
        <is>
          <t>Book And 2B Match</t>
        </is>
      </c>
      <c r="Y112" s="5" t="inlineStr">
        <is>
          <t>Book And 2B Match</t>
        </is>
      </c>
    </row>
    <row r="113">
      <c r="A113" t="inlineStr">
        <is>
          <t>AALCB9501D</t>
        </is>
      </c>
      <c r="B113" t="inlineStr">
        <is>
          <t>AALCB9501D_BMPL0046</t>
        </is>
      </c>
      <c r="D113" t="n">
        <v>0</v>
      </c>
      <c r="E113" s="4">
        <f>SUMIF(Book!$G:$G,$B113,Book!J:J)</f>
        <v/>
      </c>
      <c r="F113" s="4">
        <f>SUMIF(Book!$G:$G,$B113,Book!L:L)</f>
        <v/>
      </c>
      <c r="G113" s="4">
        <f>SUMIF(Book!$G:$G,$B113,Book!M:M)</f>
        <v/>
      </c>
      <c r="H113" s="4">
        <f>SUMIF(Book!$G:$G,$B113,Book!N:N)</f>
        <v/>
      </c>
      <c r="I113" s="4">
        <f>SUMIF(Book!$G:$G,$B113,Book!O:O)</f>
        <v/>
      </c>
      <c r="J113" t="n">
        <v>0</v>
      </c>
      <c r="K113" s="4">
        <f>SUMIF('GSTR-2B'!$G:$G,$B113,'GSTR-2B'!J:J)</f>
        <v/>
      </c>
      <c r="L113" s="4">
        <f>SUMIF('GSTR-2B'!$G:$G,$B113,'GSTR-2B'!L:L)</f>
        <v/>
      </c>
      <c r="M113" s="4">
        <f>SUMIF('GSTR-2B'!$G:$G,$B113,'GSTR-2B'!M:M)</f>
        <v/>
      </c>
      <c r="N113" s="4">
        <f>SUMIF('GSTR-2B'!$G:$G,$B113,'GSTR-2B'!N:N)</f>
        <v/>
      </c>
      <c r="O113" s="4">
        <f>SUMIF('GSTR-2B'!$G:$G,$B113,'GSTR-2B'!O:O)</f>
        <v/>
      </c>
      <c r="P113" t="n">
        <v>0</v>
      </c>
      <c r="Q113" s="4">
        <f>+E113-K113</f>
        <v/>
      </c>
      <c r="R113" s="4">
        <f>+F113-L113</f>
        <v/>
      </c>
      <c r="S113" s="4">
        <f>+G113-M113</f>
        <v/>
      </c>
      <c r="T113" s="4">
        <f>+H113-N113</f>
        <v/>
      </c>
      <c r="U113" s="4">
        <f>+I113-O113</f>
        <v/>
      </c>
      <c r="V113" t="n">
        <v>0</v>
      </c>
      <c r="W113">
        <f>VLOOKUP(A113,'GST Wise Reco'!$A$4:$T$30,20,0)</f>
        <v/>
      </c>
      <c r="X113" t="inlineStr">
        <is>
          <t>Book And 2B Match</t>
        </is>
      </c>
      <c r="Y113" s="5" t="inlineStr">
        <is>
          <t>Book And 2B Match</t>
        </is>
      </c>
    </row>
    <row r="114">
      <c r="A114" t="inlineStr">
        <is>
          <t>AALCB9501D</t>
        </is>
      </c>
      <c r="B114" t="inlineStr">
        <is>
          <t>AALCB9501D_BMPL0060</t>
        </is>
      </c>
      <c r="D114" t="n">
        <v>0</v>
      </c>
      <c r="E114" s="4">
        <f>SUMIF(Book!$G:$G,$B114,Book!J:J)</f>
        <v/>
      </c>
      <c r="F114" s="4">
        <f>SUMIF(Book!$G:$G,$B114,Book!L:L)</f>
        <v/>
      </c>
      <c r="G114" s="4">
        <f>SUMIF(Book!$G:$G,$B114,Book!M:M)</f>
        <v/>
      </c>
      <c r="H114" s="4">
        <f>SUMIF(Book!$G:$G,$B114,Book!N:N)</f>
        <v/>
      </c>
      <c r="I114" s="4">
        <f>SUMIF(Book!$G:$G,$B114,Book!O:O)</f>
        <v/>
      </c>
      <c r="J114" t="n">
        <v>0</v>
      </c>
      <c r="K114" s="4">
        <f>SUMIF('GSTR-2B'!$G:$G,$B114,'GSTR-2B'!J:J)</f>
        <v/>
      </c>
      <c r="L114" s="4">
        <f>SUMIF('GSTR-2B'!$G:$G,$B114,'GSTR-2B'!L:L)</f>
        <v/>
      </c>
      <c r="M114" s="4">
        <f>SUMIF('GSTR-2B'!$G:$G,$B114,'GSTR-2B'!M:M)</f>
        <v/>
      </c>
      <c r="N114" s="4">
        <f>SUMIF('GSTR-2B'!$G:$G,$B114,'GSTR-2B'!N:N)</f>
        <v/>
      </c>
      <c r="O114" s="4">
        <f>SUMIF('GSTR-2B'!$G:$G,$B114,'GSTR-2B'!O:O)</f>
        <v/>
      </c>
      <c r="P114" t="n">
        <v>0</v>
      </c>
      <c r="Q114" s="4">
        <f>+E114-K114</f>
        <v/>
      </c>
      <c r="R114" s="4">
        <f>+F114-L114</f>
        <v/>
      </c>
      <c r="S114" s="4">
        <f>+G114-M114</f>
        <v/>
      </c>
      <c r="T114" s="4">
        <f>+H114-N114</f>
        <v/>
      </c>
      <c r="U114" s="4">
        <f>+I114-O114</f>
        <v/>
      </c>
      <c r="V114" t="n">
        <v>0</v>
      </c>
      <c r="W114">
        <f>VLOOKUP(A114,'GST Wise Reco'!$A$4:$T$30,20,0)</f>
        <v/>
      </c>
      <c r="X114" t="inlineStr">
        <is>
          <t>Book And 2B Match</t>
        </is>
      </c>
      <c r="Y114" s="5" t="inlineStr">
        <is>
          <t>Book And 2B Match</t>
        </is>
      </c>
    </row>
    <row r="115">
      <c r="A115" t="inlineStr">
        <is>
          <t>AALCB9501D</t>
        </is>
      </c>
      <c r="B115" t="inlineStr">
        <is>
          <t>AALCB9501D_BMPL0068</t>
        </is>
      </c>
      <c r="D115" t="n">
        <v>0</v>
      </c>
      <c r="E115" s="4">
        <f>SUMIF(Book!$G:$G,$B115,Book!J:J)</f>
        <v/>
      </c>
      <c r="F115" s="4">
        <f>SUMIF(Book!$G:$G,$B115,Book!L:L)</f>
        <v/>
      </c>
      <c r="G115" s="4">
        <f>SUMIF(Book!$G:$G,$B115,Book!M:M)</f>
        <v/>
      </c>
      <c r="H115" s="4">
        <f>SUMIF(Book!$G:$G,$B115,Book!N:N)</f>
        <v/>
      </c>
      <c r="I115" s="4">
        <f>SUMIF(Book!$G:$G,$B115,Book!O:O)</f>
        <v/>
      </c>
      <c r="J115" t="n">
        <v>0</v>
      </c>
      <c r="K115" s="4">
        <f>SUMIF('GSTR-2B'!$G:$G,$B115,'GSTR-2B'!J:J)</f>
        <v/>
      </c>
      <c r="L115" s="4">
        <f>SUMIF('GSTR-2B'!$G:$G,$B115,'GSTR-2B'!L:L)</f>
        <v/>
      </c>
      <c r="M115" s="4">
        <f>SUMIF('GSTR-2B'!$G:$G,$B115,'GSTR-2B'!M:M)</f>
        <v/>
      </c>
      <c r="N115" s="4">
        <f>SUMIF('GSTR-2B'!$G:$G,$B115,'GSTR-2B'!N:N)</f>
        <v/>
      </c>
      <c r="O115" s="4">
        <f>SUMIF('GSTR-2B'!$G:$G,$B115,'GSTR-2B'!O:O)</f>
        <v/>
      </c>
      <c r="P115" t="n">
        <v>0</v>
      </c>
      <c r="Q115" s="4">
        <f>+E115-K115</f>
        <v/>
      </c>
      <c r="R115" s="4">
        <f>+F115-L115</f>
        <v/>
      </c>
      <c r="S115" s="4">
        <f>+G115-M115</f>
        <v/>
      </c>
      <c r="T115" s="4">
        <f>+H115-N115</f>
        <v/>
      </c>
      <c r="U115" s="4">
        <f>+I115-O115</f>
        <v/>
      </c>
      <c r="V115" t="n">
        <v>0</v>
      </c>
      <c r="W115">
        <f>VLOOKUP(A115,'GST Wise Reco'!$A$4:$T$30,20,0)</f>
        <v/>
      </c>
      <c r="X115" t="inlineStr">
        <is>
          <t>Book And 2B Match</t>
        </is>
      </c>
      <c r="Y115" s="5" t="inlineStr">
        <is>
          <t>Book And 2B Match</t>
        </is>
      </c>
    </row>
    <row r="116">
      <c r="A116" t="inlineStr">
        <is>
          <t>AALCB9501D</t>
        </is>
      </c>
      <c r="B116" t="inlineStr">
        <is>
          <t>AALCB9501D_BMPL0077</t>
        </is>
      </c>
      <c r="D116" t="n">
        <v>0</v>
      </c>
      <c r="E116" s="4">
        <f>SUMIF(Book!$G:$G,$B116,Book!J:J)</f>
        <v/>
      </c>
      <c r="F116" s="4">
        <f>SUMIF(Book!$G:$G,$B116,Book!L:L)</f>
        <v/>
      </c>
      <c r="G116" s="4">
        <f>SUMIF(Book!$G:$G,$B116,Book!M:M)</f>
        <v/>
      </c>
      <c r="H116" s="4">
        <f>SUMIF(Book!$G:$G,$B116,Book!N:N)</f>
        <v/>
      </c>
      <c r="I116" s="4">
        <f>SUMIF(Book!$G:$G,$B116,Book!O:O)</f>
        <v/>
      </c>
      <c r="J116" t="n">
        <v>0</v>
      </c>
      <c r="K116" s="4">
        <f>SUMIF('GSTR-2B'!$G:$G,$B116,'GSTR-2B'!J:J)</f>
        <v/>
      </c>
      <c r="L116" s="4">
        <f>SUMIF('GSTR-2B'!$G:$G,$B116,'GSTR-2B'!L:L)</f>
        <v/>
      </c>
      <c r="M116" s="4">
        <f>SUMIF('GSTR-2B'!$G:$G,$B116,'GSTR-2B'!M:M)</f>
        <v/>
      </c>
      <c r="N116" s="4">
        <f>SUMIF('GSTR-2B'!$G:$G,$B116,'GSTR-2B'!N:N)</f>
        <v/>
      </c>
      <c r="O116" s="4">
        <f>SUMIF('GSTR-2B'!$G:$G,$B116,'GSTR-2B'!O:O)</f>
        <v/>
      </c>
      <c r="P116" t="n">
        <v>0</v>
      </c>
      <c r="Q116" s="4">
        <f>+E116-K116</f>
        <v/>
      </c>
      <c r="R116" s="4">
        <f>+F116-L116</f>
        <v/>
      </c>
      <c r="S116" s="4">
        <f>+G116-M116</f>
        <v/>
      </c>
      <c r="T116" s="4">
        <f>+H116-N116</f>
        <v/>
      </c>
      <c r="U116" s="4">
        <f>+I116-O116</f>
        <v/>
      </c>
      <c r="V116" t="n">
        <v>0</v>
      </c>
      <c r="W116">
        <f>VLOOKUP(A116,'GST Wise Reco'!$A$4:$T$30,20,0)</f>
        <v/>
      </c>
      <c r="X116" t="inlineStr">
        <is>
          <t>Book And 2B Match</t>
        </is>
      </c>
      <c r="Y116" s="5" t="inlineStr">
        <is>
          <t>Book And 2B Match</t>
        </is>
      </c>
    </row>
    <row r="117">
      <c r="A117" t="inlineStr">
        <is>
          <t>AALCB9501D</t>
        </is>
      </c>
      <c r="B117" t="inlineStr">
        <is>
          <t>AALCB9501D_BMPL0090</t>
        </is>
      </c>
      <c r="D117" t="n">
        <v>0</v>
      </c>
      <c r="E117" s="4">
        <f>SUMIF(Book!$G:$G,$B117,Book!J:J)</f>
        <v/>
      </c>
      <c r="F117" s="4">
        <f>SUMIF(Book!$G:$G,$B117,Book!L:L)</f>
        <v/>
      </c>
      <c r="G117" s="4">
        <f>SUMIF(Book!$G:$G,$B117,Book!M:M)</f>
        <v/>
      </c>
      <c r="H117" s="4">
        <f>SUMIF(Book!$G:$G,$B117,Book!N:N)</f>
        <v/>
      </c>
      <c r="I117" s="4">
        <f>SUMIF(Book!$G:$G,$B117,Book!O:O)</f>
        <v/>
      </c>
      <c r="J117" t="n">
        <v>0</v>
      </c>
      <c r="K117" s="4">
        <f>SUMIF('GSTR-2B'!$G:$G,$B117,'GSTR-2B'!J:J)</f>
        <v/>
      </c>
      <c r="L117" s="4">
        <f>SUMIF('GSTR-2B'!$G:$G,$B117,'GSTR-2B'!L:L)</f>
        <v/>
      </c>
      <c r="M117" s="4">
        <f>SUMIF('GSTR-2B'!$G:$G,$B117,'GSTR-2B'!M:M)</f>
        <v/>
      </c>
      <c r="N117" s="4">
        <f>SUMIF('GSTR-2B'!$G:$G,$B117,'GSTR-2B'!N:N)</f>
        <v/>
      </c>
      <c r="O117" s="4">
        <f>SUMIF('GSTR-2B'!$G:$G,$B117,'GSTR-2B'!O:O)</f>
        <v/>
      </c>
      <c r="P117" t="n">
        <v>0</v>
      </c>
      <c r="Q117" s="4">
        <f>+E117-K117</f>
        <v/>
      </c>
      <c r="R117" s="4">
        <f>+F117-L117</f>
        <v/>
      </c>
      <c r="S117" s="4">
        <f>+G117-M117</f>
        <v/>
      </c>
      <c r="T117" s="4">
        <f>+H117-N117</f>
        <v/>
      </c>
      <c r="U117" s="4">
        <f>+I117-O117</f>
        <v/>
      </c>
      <c r="V117" t="n">
        <v>0</v>
      </c>
      <c r="W117">
        <f>VLOOKUP(A117,'GST Wise Reco'!$A$4:$T$30,20,0)</f>
        <v/>
      </c>
      <c r="X117" t="inlineStr">
        <is>
          <t>Book And 2B Match</t>
        </is>
      </c>
      <c r="Y117" s="5" t="inlineStr">
        <is>
          <t>Book And 2B Match</t>
        </is>
      </c>
    </row>
    <row r="118">
      <c r="A118" t="inlineStr">
        <is>
          <t>AALCB9501D</t>
        </is>
      </c>
      <c r="B118" t="inlineStr">
        <is>
          <t>AALCB9501D_BMPL0099</t>
        </is>
      </c>
      <c r="D118" t="n">
        <v>0</v>
      </c>
      <c r="E118" s="4">
        <f>SUMIF(Book!$G:$G,$B118,Book!J:J)</f>
        <v/>
      </c>
      <c r="F118" s="4">
        <f>SUMIF(Book!$G:$G,$B118,Book!L:L)</f>
        <v/>
      </c>
      <c r="G118" s="4">
        <f>SUMIF(Book!$G:$G,$B118,Book!M:M)</f>
        <v/>
      </c>
      <c r="H118" s="4">
        <f>SUMIF(Book!$G:$G,$B118,Book!N:N)</f>
        <v/>
      </c>
      <c r="I118" s="4">
        <f>SUMIF(Book!$G:$G,$B118,Book!O:O)</f>
        <v/>
      </c>
      <c r="J118" t="n">
        <v>0</v>
      </c>
      <c r="K118" s="4">
        <f>SUMIF('GSTR-2B'!$G:$G,$B118,'GSTR-2B'!J:J)</f>
        <v/>
      </c>
      <c r="L118" s="4">
        <f>SUMIF('GSTR-2B'!$G:$G,$B118,'GSTR-2B'!L:L)</f>
        <v/>
      </c>
      <c r="M118" s="4">
        <f>SUMIF('GSTR-2B'!$G:$G,$B118,'GSTR-2B'!M:M)</f>
        <v/>
      </c>
      <c r="N118" s="4">
        <f>SUMIF('GSTR-2B'!$G:$G,$B118,'GSTR-2B'!N:N)</f>
        <v/>
      </c>
      <c r="O118" s="4">
        <f>SUMIF('GSTR-2B'!$G:$G,$B118,'GSTR-2B'!O:O)</f>
        <v/>
      </c>
      <c r="P118" t="n">
        <v>0</v>
      </c>
      <c r="Q118" s="4">
        <f>+E118-K118</f>
        <v/>
      </c>
      <c r="R118" s="4">
        <f>+F118-L118</f>
        <v/>
      </c>
      <c r="S118" s="4">
        <f>+G118-M118</f>
        <v/>
      </c>
      <c r="T118" s="4">
        <f>+H118-N118</f>
        <v/>
      </c>
      <c r="U118" s="4">
        <f>+I118-O118</f>
        <v/>
      </c>
      <c r="V118" t="n">
        <v>0</v>
      </c>
      <c r="W118">
        <f>VLOOKUP(A118,'GST Wise Reco'!$A$4:$T$30,20,0)</f>
        <v/>
      </c>
      <c r="X118" t="inlineStr">
        <is>
          <t>Book And 2B Match</t>
        </is>
      </c>
      <c r="Y118" s="5" t="inlineStr">
        <is>
          <t>Book And 2B Match</t>
        </is>
      </c>
    </row>
    <row r="119">
      <c r="A119" t="inlineStr">
        <is>
          <t>AALCB9501D</t>
        </is>
      </c>
      <c r="B119" t="inlineStr">
        <is>
          <t>AALCB9501D_BMPL0109</t>
        </is>
      </c>
      <c r="D119" t="n">
        <v>0</v>
      </c>
      <c r="E119" s="4">
        <f>SUMIF(Book!$G:$G,$B119,Book!J:J)</f>
        <v/>
      </c>
      <c r="F119" s="4">
        <f>SUMIF(Book!$G:$G,$B119,Book!L:L)</f>
        <v/>
      </c>
      <c r="G119" s="4">
        <f>SUMIF(Book!$G:$G,$B119,Book!M:M)</f>
        <v/>
      </c>
      <c r="H119" s="4">
        <f>SUMIF(Book!$G:$G,$B119,Book!N:N)</f>
        <v/>
      </c>
      <c r="I119" s="4">
        <f>SUMIF(Book!$G:$G,$B119,Book!O:O)</f>
        <v/>
      </c>
      <c r="J119" t="n">
        <v>0</v>
      </c>
      <c r="K119" s="4">
        <f>SUMIF('GSTR-2B'!$G:$G,$B119,'GSTR-2B'!J:J)</f>
        <v/>
      </c>
      <c r="L119" s="4">
        <f>SUMIF('GSTR-2B'!$G:$G,$B119,'GSTR-2B'!L:L)</f>
        <v/>
      </c>
      <c r="M119" s="4">
        <f>SUMIF('GSTR-2B'!$G:$G,$B119,'GSTR-2B'!M:M)</f>
        <v/>
      </c>
      <c r="N119" s="4">
        <f>SUMIF('GSTR-2B'!$G:$G,$B119,'GSTR-2B'!N:N)</f>
        <v/>
      </c>
      <c r="O119" s="4">
        <f>SUMIF('GSTR-2B'!$G:$G,$B119,'GSTR-2B'!O:O)</f>
        <v/>
      </c>
      <c r="P119" t="n">
        <v>0</v>
      </c>
      <c r="Q119" s="4">
        <f>+E119-K119</f>
        <v/>
      </c>
      <c r="R119" s="4">
        <f>+F119-L119</f>
        <v/>
      </c>
      <c r="S119" s="4">
        <f>+G119-M119</f>
        <v/>
      </c>
      <c r="T119" s="4">
        <f>+H119-N119</f>
        <v/>
      </c>
      <c r="U119" s="4">
        <f>+I119-O119</f>
        <v/>
      </c>
      <c r="V119" t="n">
        <v>0</v>
      </c>
      <c r="W119">
        <f>VLOOKUP(A119,'GST Wise Reco'!$A$4:$T$30,20,0)</f>
        <v/>
      </c>
      <c r="X119" t="inlineStr">
        <is>
          <t>Book And 2B Match</t>
        </is>
      </c>
      <c r="Y119" s="5" t="inlineStr">
        <is>
          <t>Book And 2B Match</t>
        </is>
      </c>
    </row>
    <row r="120">
      <c r="A120" t="inlineStr">
        <is>
          <t>AALCB9501D</t>
        </is>
      </c>
      <c r="B120" t="inlineStr">
        <is>
          <t>AALCB9501D_BMPL0121</t>
        </is>
      </c>
      <c r="D120" t="n">
        <v>0</v>
      </c>
      <c r="E120" s="4">
        <f>SUMIF(Book!$G:$G,$B120,Book!J:J)</f>
        <v/>
      </c>
      <c r="F120" s="4">
        <f>SUMIF(Book!$G:$G,$B120,Book!L:L)</f>
        <v/>
      </c>
      <c r="G120" s="4">
        <f>SUMIF(Book!$G:$G,$B120,Book!M:M)</f>
        <v/>
      </c>
      <c r="H120" s="4">
        <f>SUMIF(Book!$G:$G,$B120,Book!N:N)</f>
        <v/>
      </c>
      <c r="I120" s="4">
        <f>SUMIF(Book!$G:$G,$B120,Book!O:O)</f>
        <v/>
      </c>
      <c r="J120" t="n">
        <v>0</v>
      </c>
      <c r="K120" s="4">
        <f>SUMIF('GSTR-2B'!$G:$G,$B120,'GSTR-2B'!J:J)</f>
        <v/>
      </c>
      <c r="L120" s="4">
        <f>SUMIF('GSTR-2B'!$G:$G,$B120,'GSTR-2B'!L:L)</f>
        <v/>
      </c>
      <c r="M120" s="4">
        <f>SUMIF('GSTR-2B'!$G:$G,$B120,'GSTR-2B'!M:M)</f>
        <v/>
      </c>
      <c r="N120" s="4">
        <f>SUMIF('GSTR-2B'!$G:$G,$B120,'GSTR-2B'!N:N)</f>
        <v/>
      </c>
      <c r="O120" s="4">
        <f>SUMIF('GSTR-2B'!$G:$G,$B120,'GSTR-2B'!O:O)</f>
        <v/>
      </c>
      <c r="P120" t="n">
        <v>0</v>
      </c>
      <c r="Q120" s="4">
        <f>+E120-K120</f>
        <v/>
      </c>
      <c r="R120" s="4">
        <f>+F120-L120</f>
        <v/>
      </c>
      <c r="S120" s="4">
        <f>+G120-M120</f>
        <v/>
      </c>
      <c r="T120" s="4">
        <f>+H120-N120</f>
        <v/>
      </c>
      <c r="U120" s="4">
        <f>+I120-O120</f>
        <v/>
      </c>
      <c r="V120" t="n">
        <v>0</v>
      </c>
      <c r="W120">
        <f>VLOOKUP(A120,'GST Wise Reco'!$A$4:$T$30,20,0)</f>
        <v/>
      </c>
      <c r="X120" t="inlineStr">
        <is>
          <t>Book And 2B Match</t>
        </is>
      </c>
      <c r="Y120" s="5" t="inlineStr">
        <is>
          <t>Book And 2B Match</t>
        </is>
      </c>
    </row>
    <row r="121">
      <c r="A121" t="inlineStr">
        <is>
          <t>AALCB9501D</t>
        </is>
      </c>
      <c r="B121" t="inlineStr">
        <is>
          <t>AALCB9501D_BMPL0145</t>
        </is>
      </c>
      <c r="D121" t="n">
        <v>0</v>
      </c>
      <c r="E121" s="4">
        <f>SUMIF(Book!$G:$G,$B121,Book!J:J)</f>
        <v/>
      </c>
      <c r="F121" s="4">
        <f>SUMIF(Book!$G:$G,$B121,Book!L:L)</f>
        <v/>
      </c>
      <c r="G121" s="4">
        <f>SUMIF(Book!$G:$G,$B121,Book!M:M)</f>
        <v/>
      </c>
      <c r="H121" s="4">
        <f>SUMIF(Book!$G:$G,$B121,Book!N:N)</f>
        <v/>
      </c>
      <c r="I121" s="4">
        <f>SUMIF(Book!$G:$G,$B121,Book!O:O)</f>
        <v/>
      </c>
      <c r="J121" t="n">
        <v>0</v>
      </c>
      <c r="K121" s="4">
        <f>SUMIF('GSTR-2B'!$G:$G,$B121,'GSTR-2B'!J:J)</f>
        <v/>
      </c>
      <c r="L121" s="4">
        <f>SUMIF('GSTR-2B'!$G:$G,$B121,'GSTR-2B'!L:L)</f>
        <v/>
      </c>
      <c r="M121" s="4">
        <f>SUMIF('GSTR-2B'!$G:$G,$B121,'GSTR-2B'!M:M)</f>
        <v/>
      </c>
      <c r="N121" s="4">
        <f>SUMIF('GSTR-2B'!$G:$G,$B121,'GSTR-2B'!N:N)</f>
        <v/>
      </c>
      <c r="O121" s="4">
        <f>SUMIF('GSTR-2B'!$G:$G,$B121,'GSTR-2B'!O:O)</f>
        <v/>
      </c>
      <c r="P121" t="n">
        <v>0</v>
      </c>
      <c r="Q121" s="4">
        <f>+E121-K121</f>
        <v/>
      </c>
      <c r="R121" s="4">
        <f>+F121-L121</f>
        <v/>
      </c>
      <c r="S121" s="4">
        <f>+G121-M121</f>
        <v/>
      </c>
      <c r="T121" s="4">
        <f>+H121-N121</f>
        <v/>
      </c>
      <c r="U121" s="4">
        <f>+I121-O121</f>
        <v/>
      </c>
      <c r="V121" t="n">
        <v>0</v>
      </c>
      <c r="W121">
        <f>VLOOKUP(A121,'GST Wise Reco'!$A$4:$T$30,20,0)</f>
        <v/>
      </c>
      <c r="X121" t="inlineStr">
        <is>
          <t>Book And 2B Match</t>
        </is>
      </c>
      <c r="Y121" s="5" t="inlineStr">
        <is>
          <t>Book And 2B Match</t>
        </is>
      </c>
    </row>
    <row r="122">
      <c r="A122" t="inlineStr">
        <is>
          <t>AALCB9501D</t>
        </is>
      </c>
      <c r="B122" t="inlineStr">
        <is>
          <t>AALCB9501D_BMPL0168</t>
        </is>
      </c>
      <c r="D122" t="n">
        <v>0</v>
      </c>
      <c r="E122" s="4">
        <f>SUMIF(Book!$G:$G,$B122,Book!J:J)</f>
        <v/>
      </c>
      <c r="F122" s="4">
        <f>SUMIF(Book!$G:$G,$B122,Book!L:L)</f>
        <v/>
      </c>
      <c r="G122" s="4">
        <f>SUMIF(Book!$G:$G,$B122,Book!M:M)</f>
        <v/>
      </c>
      <c r="H122" s="4">
        <f>SUMIF(Book!$G:$G,$B122,Book!N:N)</f>
        <v/>
      </c>
      <c r="I122" s="4">
        <f>SUMIF(Book!$G:$G,$B122,Book!O:O)</f>
        <v/>
      </c>
      <c r="J122" t="n">
        <v>0</v>
      </c>
      <c r="K122" s="4">
        <f>SUMIF('GSTR-2B'!$G:$G,$B122,'GSTR-2B'!J:J)</f>
        <v/>
      </c>
      <c r="L122" s="4">
        <f>SUMIF('GSTR-2B'!$G:$G,$B122,'GSTR-2B'!L:L)</f>
        <v/>
      </c>
      <c r="M122" s="4">
        <f>SUMIF('GSTR-2B'!$G:$G,$B122,'GSTR-2B'!M:M)</f>
        <v/>
      </c>
      <c r="N122" s="4">
        <f>SUMIF('GSTR-2B'!$G:$G,$B122,'GSTR-2B'!N:N)</f>
        <v/>
      </c>
      <c r="O122" s="4">
        <f>SUMIF('GSTR-2B'!$G:$G,$B122,'GSTR-2B'!O:O)</f>
        <v/>
      </c>
      <c r="P122" t="n">
        <v>0</v>
      </c>
      <c r="Q122" s="4">
        <f>+E122-K122</f>
        <v/>
      </c>
      <c r="R122" s="4">
        <f>+F122-L122</f>
        <v/>
      </c>
      <c r="S122" s="4">
        <f>+G122-M122</f>
        <v/>
      </c>
      <c r="T122" s="4">
        <f>+H122-N122</f>
        <v/>
      </c>
      <c r="U122" s="4">
        <f>+I122-O122</f>
        <v/>
      </c>
      <c r="V122" t="n">
        <v>0</v>
      </c>
      <c r="W122">
        <f>VLOOKUP(A122,'GST Wise Reco'!$A$4:$T$30,20,0)</f>
        <v/>
      </c>
      <c r="X122" t="inlineStr">
        <is>
          <t>Book And 2B Match</t>
        </is>
      </c>
      <c r="Y122" s="5" t="inlineStr">
        <is>
          <t>Book And 2B Match</t>
        </is>
      </c>
    </row>
    <row r="123">
      <c r="A123" t="inlineStr">
        <is>
          <t>AALCB9501D</t>
        </is>
      </c>
      <c r="B123" t="inlineStr">
        <is>
          <t>AALCB9501D_BMPL0195</t>
        </is>
      </c>
      <c r="D123" t="n">
        <v>0</v>
      </c>
      <c r="E123" s="4">
        <f>SUMIF(Book!$G:$G,$B123,Book!J:J)</f>
        <v/>
      </c>
      <c r="F123" s="4">
        <f>SUMIF(Book!$G:$G,$B123,Book!L:L)</f>
        <v/>
      </c>
      <c r="G123" s="4">
        <f>SUMIF(Book!$G:$G,$B123,Book!M:M)</f>
        <v/>
      </c>
      <c r="H123" s="4">
        <f>SUMIF(Book!$G:$G,$B123,Book!N:N)</f>
        <v/>
      </c>
      <c r="I123" s="4">
        <f>SUMIF(Book!$G:$G,$B123,Book!O:O)</f>
        <v/>
      </c>
      <c r="J123" t="n">
        <v>0</v>
      </c>
      <c r="K123" s="4">
        <f>SUMIF('GSTR-2B'!$G:$G,$B123,'GSTR-2B'!J:J)</f>
        <v/>
      </c>
      <c r="L123" s="4">
        <f>SUMIF('GSTR-2B'!$G:$G,$B123,'GSTR-2B'!L:L)</f>
        <v/>
      </c>
      <c r="M123" s="4">
        <f>SUMIF('GSTR-2B'!$G:$G,$B123,'GSTR-2B'!M:M)</f>
        <v/>
      </c>
      <c r="N123" s="4">
        <f>SUMIF('GSTR-2B'!$G:$G,$B123,'GSTR-2B'!N:N)</f>
        <v/>
      </c>
      <c r="O123" s="4">
        <f>SUMIF('GSTR-2B'!$G:$G,$B123,'GSTR-2B'!O:O)</f>
        <v/>
      </c>
      <c r="P123" t="n">
        <v>0</v>
      </c>
      <c r="Q123" s="4">
        <f>+E123-K123</f>
        <v/>
      </c>
      <c r="R123" s="4">
        <f>+F123-L123</f>
        <v/>
      </c>
      <c r="S123" s="4">
        <f>+G123-M123</f>
        <v/>
      </c>
      <c r="T123" s="4">
        <f>+H123-N123</f>
        <v/>
      </c>
      <c r="U123" s="4">
        <f>+I123-O123</f>
        <v/>
      </c>
      <c r="V123" t="n">
        <v>0</v>
      </c>
      <c r="W123">
        <f>VLOOKUP(A123,'GST Wise Reco'!$A$4:$T$30,20,0)</f>
        <v/>
      </c>
      <c r="X123" t="inlineStr">
        <is>
          <t>Book And 2B Match</t>
        </is>
      </c>
      <c r="Y123" s="5" t="inlineStr">
        <is>
          <t>Book And 2B Match</t>
        </is>
      </c>
    </row>
    <row r="124">
      <c r="A124" t="inlineStr">
        <is>
          <t>AALCR1836M</t>
        </is>
      </c>
      <c r="B124" t="inlineStr">
        <is>
          <t>AALCR1836M_INV-R000368</t>
        </is>
      </c>
      <c r="D124" t="n">
        <v>0</v>
      </c>
      <c r="E124" s="4">
        <f>SUMIF(Book!$G:$G,$B124,Book!J:J)</f>
        <v/>
      </c>
      <c r="F124" s="4">
        <f>SUMIF(Book!$G:$G,$B124,Book!L:L)</f>
        <v/>
      </c>
      <c r="G124" s="4">
        <f>SUMIF(Book!$G:$G,$B124,Book!M:M)</f>
        <v/>
      </c>
      <c r="H124" s="4">
        <f>SUMIF(Book!$G:$G,$B124,Book!N:N)</f>
        <v/>
      </c>
      <c r="I124" s="4">
        <f>SUMIF(Book!$G:$G,$B124,Book!O:O)</f>
        <v/>
      </c>
      <c r="J124" t="n">
        <v>0</v>
      </c>
      <c r="K124" s="4">
        <f>SUMIF('GSTR-2B'!$G:$G,$B124,'GSTR-2B'!J:J)</f>
        <v/>
      </c>
      <c r="L124" s="4">
        <f>SUMIF('GSTR-2B'!$G:$G,$B124,'GSTR-2B'!L:L)</f>
        <v/>
      </c>
      <c r="M124" s="4">
        <f>SUMIF('GSTR-2B'!$G:$G,$B124,'GSTR-2B'!M:M)</f>
        <v/>
      </c>
      <c r="N124" s="4">
        <f>SUMIF('GSTR-2B'!$G:$G,$B124,'GSTR-2B'!N:N)</f>
        <v/>
      </c>
      <c r="O124" s="4">
        <f>SUMIF('GSTR-2B'!$G:$G,$B124,'GSTR-2B'!O:O)</f>
        <v/>
      </c>
      <c r="P124" t="n">
        <v>0</v>
      </c>
      <c r="Q124" s="4">
        <f>+E124-K124</f>
        <v/>
      </c>
      <c r="R124" s="4">
        <f>+F124-L124</f>
        <v/>
      </c>
      <c r="S124" s="4">
        <f>+G124-M124</f>
        <v/>
      </c>
      <c r="T124" s="4">
        <f>+H124-N124</f>
        <v/>
      </c>
      <c r="U124" s="4">
        <f>+I124-O124</f>
        <v/>
      </c>
      <c r="V124" t="n">
        <v>0</v>
      </c>
      <c r="W124">
        <f>VLOOKUP(A124,'GST Wise Reco'!$A$4:$T$30,20,0)</f>
        <v/>
      </c>
      <c r="X124" t="inlineStr">
        <is>
          <t>Book And 2B Match</t>
        </is>
      </c>
      <c r="Y124" s="5" t="inlineStr">
        <is>
          <t>Book And 2B Match</t>
        </is>
      </c>
    </row>
    <row r="125">
      <c r="A125" t="inlineStr">
        <is>
          <t>AALCR1836M</t>
        </is>
      </c>
      <c r="B125" t="inlineStr">
        <is>
          <t>AALCR1836M_INV-R000370</t>
        </is>
      </c>
      <c r="D125" t="n">
        <v>0</v>
      </c>
      <c r="E125" s="4">
        <f>SUMIF(Book!$G:$G,$B125,Book!J:J)</f>
        <v/>
      </c>
      <c r="F125" s="4">
        <f>SUMIF(Book!$G:$G,$B125,Book!L:L)</f>
        <v/>
      </c>
      <c r="G125" s="4">
        <f>SUMIF(Book!$G:$G,$B125,Book!M:M)</f>
        <v/>
      </c>
      <c r="H125" s="4">
        <f>SUMIF(Book!$G:$G,$B125,Book!N:N)</f>
        <v/>
      </c>
      <c r="I125" s="4">
        <f>SUMIF(Book!$G:$G,$B125,Book!O:O)</f>
        <v/>
      </c>
      <c r="J125" t="n">
        <v>0</v>
      </c>
      <c r="K125" s="4">
        <f>SUMIF('GSTR-2B'!$G:$G,$B125,'GSTR-2B'!J:J)</f>
        <v/>
      </c>
      <c r="L125" s="4">
        <f>SUMIF('GSTR-2B'!$G:$G,$B125,'GSTR-2B'!L:L)</f>
        <v/>
      </c>
      <c r="M125" s="4">
        <f>SUMIF('GSTR-2B'!$G:$G,$B125,'GSTR-2B'!M:M)</f>
        <v/>
      </c>
      <c r="N125" s="4">
        <f>SUMIF('GSTR-2B'!$G:$G,$B125,'GSTR-2B'!N:N)</f>
        <v/>
      </c>
      <c r="O125" s="4">
        <f>SUMIF('GSTR-2B'!$G:$G,$B125,'GSTR-2B'!O:O)</f>
        <v/>
      </c>
      <c r="P125" t="n">
        <v>0</v>
      </c>
      <c r="Q125" s="4">
        <f>+E125-K125</f>
        <v/>
      </c>
      <c r="R125" s="4">
        <f>+F125-L125</f>
        <v/>
      </c>
      <c r="S125" s="4">
        <f>+G125-M125</f>
        <v/>
      </c>
      <c r="T125" s="4">
        <f>+H125-N125</f>
        <v/>
      </c>
      <c r="U125" s="4">
        <f>+I125-O125</f>
        <v/>
      </c>
      <c r="V125" t="n">
        <v>0</v>
      </c>
      <c r="W125">
        <f>VLOOKUP(A125,'GST Wise Reco'!$A$4:$T$30,20,0)</f>
        <v/>
      </c>
      <c r="X125" t="inlineStr">
        <is>
          <t>Book And 2B Match</t>
        </is>
      </c>
      <c r="Y125" s="5" t="inlineStr">
        <is>
          <t>Book And 2B Match</t>
        </is>
      </c>
    </row>
    <row r="126">
      <c r="A126" t="inlineStr">
        <is>
          <t>AALCR1836M</t>
        </is>
      </c>
      <c r="B126" t="inlineStr">
        <is>
          <t>AALCR1836M_INV-R000390</t>
        </is>
      </c>
      <c r="D126" t="n">
        <v>0</v>
      </c>
      <c r="E126" s="4">
        <f>SUMIF(Book!$G:$G,$B126,Book!J:J)</f>
        <v/>
      </c>
      <c r="F126" s="4">
        <f>SUMIF(Book!$G:$G,$B126,Book!L:L)</f>
        <v/>
      </c>
      <c r="G126" s="4">
        <f>SUMIF(Book!$G:$G,$B126,Book!M:M)</f>
        <v/>
      </c>
      <c r="H126" s="4">
        <f>SUMIF(Book!$G:$G,$B126,Book!N:N)</f>
        <v/>
      </c>
      <c r="I126" s="4">
        <f>SUMIF(Book!$G:$G,$B126,Book!O:O)</f>
        <v/>
      </c>
      <c r="J126" t="n">
        <v>0</v>
      </c>
      <c r="K126" s="4">
        <f>SUMIF('GSTR-2B'!$G:$G,$B126,'GSTR-2B'!J:J)</f>
        <v/>
      </c>
      <c r="L126" s="4">
        <f>SUMIF('GSTR-2B'!$G:$G,$B126,'GSTR-2B'!L:L)</f>
        <v/>
      </c>
      <c r="M126" s="4">
        <f>SUMIF('GSTR-2B'!$G:$G,$B126,'GSTR-2B'!M:M)</f>
        <v/>
      </c>
      <c r="N126" s="4">
        <f>SUMIF('GSTR-2B'!$G:$G,$B126,'GSTR-2B'!N:N)</f>
        <v/>
      </c>
      <c r="O126" s="4">
        <f>SUMIF('GSTR-2B'!$G:$G,$B126,'GSTR-2B'!O:O)</f>
        <v/>
      </c>
      <c r="P126" t="n">
        <v>0</v>
      </c>
      <c r="Q126" s="4">
        <f>+E126-K126</f>
        <v/>
      </c>
      <c r="R126" s="4">
        <f>+F126-L126</f>
        <v/>
      </c>
      <c r="S126" s="4">
        <f>+G126-M126</f>
        <v/>
      </c>
      <c r="T126" s="4">
        <f>+H126-N126</f>
        <v/>
      </c>
      <c r="U126" s="4">
        <f>+I126-O126</f>
        <v/>
      </c>
      <c r="V126" t="n">
        <v>0</v>
      </c>
      <c r="W126">
        <f>VLOOKUP(A126,'GST Wise Reco'!$A$4:$T$30,20,0)</f>
        <v/>
      </c>
      <c r="X126" t="inlineStr">
        <is>
          <t>Book And 2B Match</t>
        </is>
      </c>
      <c r="Y126" s="5" t="inlineStr">
        <is>
          <t>Book And 2B Match</t>
        </is>
      </c>
    </row>
    <row r="127">
      <c r="A127" t="inlineStr">
        <is>
          <t>AANFJ4391E</t>
        </is>
      </c>
      <c r="B127" t="inlineStr">
        <is>
          <t>AANFJ4391E_J/25-26/660</t>
        </is>
      </c>
      <c r="D127" t="n">
        <v>0</v>
      </c>
      <c r="E127" s="4">
        <f>SUMIF(Book!$G:$G,$B127,Book!J:J)</f>
        <v/>
      </c>
      <c r="F127" s="4">
        <f>SUMIF(Book!$G:$G,$B127,Book!L:L)</f>
        <v/>
      </c>
      <c r="G127" s="4">
        <f>SUMIF(Book!$G:$G,$B127,Book!M:M)</f>
        <v/>
      </c>
      <c r="H127" s="4">
        <f>SUMIF(Book!$G:$G,$B127,Book!N:N)</f>
        <v/>
      </c>
      <c r="I127" s="4">
        <f>SUMIF(Book!$G:$G,$B127,Book!O:O)</f>
        <v/>
      </c>
      <c r="J127" t="n">
        <v>0</v>
      </c>
      <c r="K127" s="4">
        <f>SUMIF('GSTR-2B'!$G:$G,$B127,'GSTR-2B'!J:J)</f>
        <v/>
      </c>
      <c r="L127" s="4">
        <f>SUMIF('GSTR-2B'!$G:$G,$B127,'GSTR-2B'!L:L)</f>
        <v/>
      </c>
      <c r="M127" s="4">
        <f>SUMIF('GSTR-2B'!$G:$G,$B127,'GSTR-2B'!M:M)</f>
        <v/>
      </c>
      <c r="N127" s="4">
        <f>SUMIF('GSTR-2B'!$G:$G,$B127,'GSTR-2B'!N:N)</f>
        <v/>
      </c>
      <c r="O127" s="4">
        <f>SUMIF('GSTR-2B'!$G:$G,$B127,'GSTR-2B'!O:O)</f>
        <v/>
      </c>
      <c r="P127" t="n">
        <v>0</v>
      </c>
      <c r="Q127" s="4">
        <f>+E127-K127</f>
        <v/>
      </c>
      <c r="R127" s="4">
        <f>+F127-L127</f>
        <v/>
      </c>
      <c r="S127" s="4">
        <f>+G127-M127</f>
        <v/>
      </c>
      <c r="T127" s="4">
        <f>+H127-N127</f>
        <v/>
      </c>
      <c r="U127" s="4">
        <f>+I127-O127</f>
        <v/>
      </c>
      <c r="V127" t="n">
        <v>0</v>
      </c>
      <c r="W127">
        <f>VLOOKUP(A127,'GST Wise Reco'!$A$4:$T$30,20,0)</f>
        <v/>
      </c>
      <c r="X127" t="inlineStr">
        <is>
          <t>Book And 2B Match</t>
        </is>
      </c>
      <c r="Y127" s="5" t="inlineStr">
        <is>
          <t>Book And 2B Match</t>
        </is>
      </c>
    </row>
    <row r="128">
      <c r="A128" t="inlineStr">
        <is>
          <t>AAOCS8108A</t>
        </is>
      </c>
      <c r="B128" t="inlineStr">
        <is>
          <t>AAOCS8108A_SB2526827</t>
        </is>
      </c>
      <c r="D128" t="n">
        <v>0</v>
      </c>
      <c r="E128" s="4">
        <f>SUMIF(Book!$G:$G,$B128,Book!J:J)</f>
        <v/>
      </c>
      <c r="F128" s="4">
        <f>SUMIF(Book!$G:$G,$B128,Book!L:L)</f>
        <v/>
      </c>
      <c r="G128" s="4">
        <f>SUMIF(Book!$G:$G,$B128,Book!M:M)</f>
        <v/>
      </c>
      <c r="H128" s="4">
        <f>SUMIF(Book!$G:$G,$B128,Book!N:N)</f>
        <v/>
      </c>
      <c r="I128" s="4">
        <f>SUMIF(Book!$G:$G,$B128,Book!O:O)</f>
        <v/>
      </c>
      <c r="J128" t="n">
        <v>0</v>
      </c>
      <c r="K128" s="4">
        <f>SUMIF('GSTR-2B'!$G:$G,$B128,'GSTR-2B'!J:J)</f>
        <v/>
      </c>
      <c r="L128" s="4">
        <f>SUMIF('GSTR-2B'!$G:$G,$B128,'GSTR-2B'!L:L)</f>
        <v/>
      </c>
      <c r="M128" s="4">
        <f>SUMIF('GSTR-2B'!$G:$G,$B128,'GSTR-2B'!M:M)</f>
        <v/>
      </c>
      <c r="N128" s="4">
        <f>SUMIF('GSTR-2B'!$G:$G,$B128,'GSTR-2B'!N:N)</f>
        <v/>
      </c>
      <c r="O128" s="4">
        <f>SUMIF('GSTR-2B'!$G:$G,$B128,'GSTR-2B'!O:O)</f>
        <v/>
      </c>
      <c r="P128" t="n">
        <v>0</v>
      </c>
      <c r="Q128" s="4">
        <f>+E128-K128</f>
        <v/>
      </c>
      <c r="R128" s="4">
        <f>+F128-L128</f>
        <v/>
      </c>
      <c r="S128" s="4">
        <f>+G128-M128</f>
        <v/>
      </c>
      <c r="T128" s="4">
        <f>+H128-N128</f>
        <v/>
      </c>
      <c r="U128" s="4">
        <f>+I128-O128</f>
        <v/>
      </c>
      <c r="V128" t="n">
        <v>0</v>
      </c>
      <c r="W128">
        <f>VLOOKUP(A128,'GST Wise Reco'!$A$4:$T$30,20,0)</f>
        <v/>
      </c>
      <c r="X128" t="inlineStr">
        <is>
          <t>Vendor are show in 2B - Tax Invoices and CN</t>
        </is>
      </c>
      <c r="Y128" s="6" t="inlineStr">
        <is>
          <t>Vendor are show in 2B - Tax Invoices and CN</t>
        </is>
      </c>
    </row>
    <row r="129">
      <c r="A129" t="inlineStr">
        <is>
          <t>AAOCS8108A</t>
        </is>
      </c>
      <c r="B129" t="inlineStr">
        <is>
          <t>AAOCS8108A_SB2526843</t>
        </is>
      </c>
      <c r="D129" t="n">
        <v>0</v>
      </c>
      <c r="E129" s="4">
        <f>SUMIF(Book!$G:$G,$B129,Book!J:J)</f>
        <v/>
      </c>
      <c r="F129" s="4">
        <f>SUMIF(Book!$G:$G,$B129,Book!L:L)</f>
        <v/>
      </c>
      <c r="G129" s="4">
        <f>SUMIF(Book!$G:$G,$B129,Book!M:M)</f>
        <v/>
      </c>
      <c r="H129" s="4">
        <f>SUMIF(Book!$G:$G,$B129,Book!N:N)</f>
        <v/>
      </c>
      <c r="I129" s="4">
        <f>SUMIF(Book!$G:$G,$B129,Book!O:O)</f>
        <v/>
      </c>
      <c r="J129" t="n">
        <v>0</v>
      </c>
      <c r="K129" s="4">
        <f>SUMIF('GSTR-2B'!$G:$G,$B129,'GSTR-2B'!J:J)</f>
        <v/>
      </c>
      <c r="L129" s="4">
        <f>SUMIF('GSTR-2B'!$G:$G,$B129,'GSTR-2B'!L:L)</f>
        <v/>
      </c>
      <c r="M129" s="4">
        <f>SUMIF('GSTR-2B'!$G:$G,$B129,'GSTR-2B'!M:M)</f>
        <v/>
      </c>
      <c r="N129" s="4">
        <f>SUMIF('GSTR-2B'!$G:$G,$B129,'GSTR-2B'!N:N)</f>
        <v/>
      </c>
      <c r="O129" s="4">
        <f>SUMIF('GSTR-2B'!$G:$G,$B129,'GSTR-2B'!O:O)</f>
        <v/>
      </c>
      <c r="P129" t="n">
        <v>0</v>
      </c>
      <c r="Q129" s="4">
        <f>+E129-K129</f>
        <v/>
      </c>
      <c r="R129" s="4">
        <f>+F129-L129</f>
        <v/>
      </c>
      <c r="S129" s="4">
        <f>+G129-M129</f>
        <v/>
      </c>
      <c r="T129" s="4">
        <f>+H129-N129</f>
        <v/>
      </c>
      <c r="U129" s="4">
        <f>+I129-O129</f>
        <v/>
      </c>
      <c r="V129" t="n">
        <v>0</v>
      </c>
      <c r="W129">
        <f>VLOOKUP(A129,'GST Wise Reco'!$A$4:$T$30,20,0)</f>
        <v/>
      </c>
      <c r="X129" t="inlineStr">
        <is>
          <t>Vendor are show in 2B - Tax Invoices and CN</t>
        </is>
      </c>
      <c r="Y129" s="6" t="inlineStr">
        <is>
          <t>Vendor are show in 2B - Tax Invoices and CN</t>
        </is>
      </c>
    </row>
    <row r="130">
      <c r="A130" t="inlineStr">
        <is>
          <t>AAOCS8108A</t>
        </is>
      </c>
      <c r="B130" t="inlineStr">
        <is>
          <t>AAOCS8108A_SB2526862</t>
        </is>
      </c>
      <c r="D130" t="n">
        <v>0</v>
      </c>
      <c r="E130" s="4">
        <f>SUMIF(Book!$G:$G,$B130,Book!J:J)</f>
        <v/>
      </c>
      <c r="F130" s="4">
        <f>SUMIF(Book!$G:$G,$B130,Book!L:L)</f>
        <v/>
      </c>
      <c r="G130" s="4">
        <f>SUMIF(Book!$G:$G,$B130,Book!M:M)</f>
        <v/>
      </c>
      <c r="H130" s="4">
        <f>SUMIF(Book!$G:$G,$B130,Book!N:N)</f>
        <v/>
      </c>
      <c r="I130" s="4">
        <f>SUMIF(Book!$G:$G,$B130,Book!O:O)</f>
        <v/>
      </c>
      <c r="J130" t="n">
        <v>0</v>
      </c>
      <c r="K130" s="4">
        <f>SUMIF('GSTR-2B'!$G:$G,$B130,'GSTR-2B'!J:J)</f>
        <v/>
      </c>
      <c r="L130" s="4">
        <f>SUMIF('GSTR-2B'!$G:$G,$B130,'GSTR-2B'!L:L)</f>
        <v/>
      </c>
      <c r="M130" s="4">
        <f>SUMIF('GSTR-2B'!$G:$G,$B130,'GSTR-2B'!M:M)</f>
        <v/>
      </c>
      <c r="N130" s="4">
        <f>SUMIF('GSTR-2B'!$G:$G,$B130,'GSTR-2B'!N:N)</f>
        <v/>
      </c>
      <c r="O130" s="4">
        <f>SUMIF('GSTR-2B'!$G:$G,$B130,'GSTR-2B'!O:O)</f>
        <v/>
      </c>
      <c r="P130" t="n">
        <v>0</v>
      </c>
      <c r="Q130" s="4">
        <f>+E130-K130</f>
        <v/>
      </c>
      <c r="R130" s="4">
        <f>+F130-L130</f>
        <v/>
      </c>
      <c r="S130" s="4">
        <f>+G130-M130</f>
        <v/>
      </c>
      <c r="T130" s="4">
        <f>+H130-N130</f>
        <v/>
      </c>
      <c r="U130" s="4">
        <f>+I130-O130</f>
        <v/>
      </c>
      <c r="V130" t="n">
        <v>0</v>
      </c>
      <c r="W130">
        <f>VLOOKUP(A130,'GST Wise Reco'!$A$4:$T$30,20,0)</f>
        <v/>
      </c>
      <c r="X130" t="inlineStr">
        <is>
          <t>Vendor are show in 2B - Tax Invoices and CN</t>
        </is>
      </c>
      <c r="Y130" s="6" t="inlineStr">
        <is>
          <t>Vendor are show in 2B - Tax Invoices and CN</t>
        </is>
      </c>
    </row>
    <row r="131">
      <c r="A131" t="inlineStr">
        <is>
          <t>AAOCS8108A</t>
        </is>
      </c>
      <c r="B131" t="inlineStr">
        <is>
          <t>AAOCS8108A_SB2526892</t>
        </is>
      </c>
      <c r="D131" t="n">
        <v>0</v>
      </c>
      <c r="E131" s="4">
        <f>SUMIF(Book!$G:$G,$B131,Book!J:J)</f>
        <v/>
      </c>
      <c r="F131" s="4">
        <f>SUMIF(Book!$G:$G,$B131,Book!L:L)</f>
        <v/>
      </c>
      <c r="G131" s="4">
        <f>SUMIF(Book!$G:$G,$B131,Book!M:M)</f>
        <v/>
      </c>
      <c r="H131" s="4">
        <f>SUMIF(Book!$G:$G,$B131,Book!N:N)</f>
        <v/>
      </c>
      <c r="I131" s="4">
        <f>SUMIF(Book!$G:$G,$B131,Book!O:O)</f>
        <v/>
      </c>
      <c r="J131" t="n">
        <v>0</v>
      </c>
      <c r="K131" s="4">
        <f>SUMIF('GSTR-2B'!$G:$G,$B131,'GSTR-2B'!J:J)</f>
        <v/>
      </c>
      <c r="L131" s="4">
        <f>SUMIF('GSTR-2B'!$G:$G,$B131,'GSTR-2B'!L:L)</f>
        <v/>
      </c>
      <c r="M131" s="4">
        <f>SUMIF('GSTR-2B'!$G:$G,$B131,'GSTR-2B'!M:M)</f>
        <v/>
      </c>
      <c r="N131" s="4">
        <f>SUMIF('GSTR-2B'!$G:$G,$B131,'GSTR-2B'!N:N)</f>
        <v/>
      </c>
      <c r="O131" s="4">
        <f>SUMIF('GSTR-2B'!$G:$G,$B131,'GSTR-2B'!O:O)</f>
        <v/>
      </c>
      <c r="P131" t="n">
        <v>0</v>
      </c>
      <c r="Q131" s="4">
        <f>+E131-K131</f>
        <v/>
      </c>
      <c r="R131" s="4">
        <f>+F131-L131</f>
        <v/>
      </c>
      <c r="S131" s="4">
        <f>+G131-M131</f>
        <v/>
      </c>
      <c r="T131" s="4">
        <f>+H131-N131</f>
        <v/>
      </c>
      <c r="U131" s="4">
        <f>+I131-O131</f>
        <v/>
      </c>
      <c r="V131" t="n">
        <v>0</v>
      </c>
      <c r="W131">
        <f>VLOOKUP(A131,'GST Wise Reco'!$A$4:$T$30,20,0)</f>
        <v/>
      </c>
      <c r="X131" t="inlineStr">
        <is>
          <t>Vendor are show in 2B - Tax Invoices and CN</t>
        </is>
      </c>
      <c r="Y131" s="6" t="inlineStr">
        <is>
          <t>Vendor are show in 2B - Tax Invoices and CN</t>
        </is>
      </c>
    </row>
    <row r="132">
      <c r="A132" t="inlineStr">
        <is>
          <t>AAOCS8108A</t>
        </is>
      </c>
      <c r="B132" t="inlineStr">
        <is>
          <t>AAOCS8108A_SB2526922</t>
        </is>
      </c>
      <c r="D132" t="n">
        <v>0</v>
      </c>
      <c r="E132" s="4">
        <f>SUMIF(Book!$G:$G,$B132,Book!J:J)</f>
        <v/>
      </c>
      <c r="F132" s="4">
        <f>SUMIF(Book!$G:$G,$B132,Book!L:L)</f>
        <v/>
      </c>
      <c r="G132" s="4">
        <f>SUMIF(Book!$G:$G,$B132,Book!M:M)</f>
        <v/>
      </c>
      <c r="H132" s="4">
        <f>SUMIF(Book!$G:$G,$B132,Book!N:N)</f>
        <v/>
      </c>
      <c r="I132" s="4">
        <f>SUMIF(Book!$G:$G,$B132,Book!O:O)</f>
        <v/>
      </c>
      <c r="J132" t="n">
        <v>0</v>
      </c>
      <c r="K132" s="4">
        <f>SUMIF('GSTR-2B'!$G:$G,$B132,'GSTR-2B'!J:J)</f>
        <v/>
      </c>
      <c r="L132" s="4">
        <f>SUMIF('GSTR-2B'!$G:$G,$B132,'GSTR-2B'!L:L)</f>
        <v/>
      </c>
      <c r="M132" s="4">
        <f>SUMIF('GSTR-2B'!$G:$G,$B132,'GSTR-2B'!M:M)</f>
        <v/>
      </c>
      <c r="N132" s="4">
        <f>SUMIF('GSTR-2B'!$G:$G,$B132,'GSTR-2B'!N:N)</f>
        <v/>
      </c>
      <c r="O132" s="4">
        <f>SUMIF('GSTR-2B'!$G:$G,$B132,'GSTR-2B'!O:O)</f>
        <v/>
      </c>
      <c r="P132" t="n">
        <v>0</v>
      </c>
      <c r="Q132" s="4">
        <f>+E132-K132</f>
        <v/>
      </c>
      <c r="R132" s="4">
        <f>+F132-L132</f>
        <v/>
      </c>
      <c r="S132" s="4">
        <f>+G132-M132</f>
        <v/>
      </c>
      <c r="T132" s="4">
        <f>+H132-N132</f>
        <v/>
      </c>
      <c r="U132" s="4">
        <f>+I132-O132</f>
        <v/>
      </c>
      <c r="V132" t="n">
        <v>0</v>
      </c>
      <c r="W132">
        <f>VLOOKUP(A132,'GST Wise Reco'!$A$4:$T$30,20,0)</f>
        <v/>
      </c>
      <c r="X132" t="inlineStr">
        <is>
          <t>Vendor are show in 2B - Tax Invoices and CN</t>
        </is>
      </c>
      <c r="Y132" s="6" t="inlineStr">
        <is>
          <t>Vendor are show in 2B - Tax Invoices and CN</t>
        </is>
      </c>
    </row>
    <row r="133">
      <c r="A133" t="inlineStr">
        <is>
          <t>AAOCS8108A</t>
        </is>
      </c>
      <c r="B133" t="inlineStr">
        <is>
          <t>AAOCS8108A_SB2526967</t>
        </is>
      </c>
      <c r="D133" t="n">
        <v>0</v>
      </c>
      <c r="E133" s="4">
        <f>SUMIF(Book!$G:$G,$B133,Book!J:J)</f>
        <v/>
      </c>
      <c r="F133" s="4">
        <f>SUMIF(Book!$G:$G,$B133,Book!L:L)</f>
        <v/>
      </c>
      <c r="G133" s="4">
        <f>SUMIF(Book!$G:$G,$B133,Book!M:M)</f>
        <v/>
      </c>
      <c r="H133" s="4">
        <f>SUMIF(Book!$G:$G,$B133,Book!N:N)</f>
        <v/>
      </c>
      <c r="I133" s="4">
        <f>SUMIF(Book!$G:$G,$B133,Book!O:O)</f>
        <v/>
      </c>
      <c r="J133" t="n">
        <v>0</v>
      </c>
      <c r="K133" s="4">
        <f>SUMIF('GSTR-2B'!$G:$G,$B133,'GSTR-2B'!J:J)</f>
        <v/>
      </c>
      <c r="L133" s="4">
        <f>SUMIF('GSTR-2B'!$G:$G,$B133,'GSTR-2B'!L:L)</f>
        <v/>
      </c>
      <c r="M133" s="4">
        <f>SUMIF('GSTR-2B'!$G:$G,$B133,'GSTR-2B'!M:M)</f>
        <v/>
      </c>
      <c r="N133" s="4">
        <f>SUMIF('GSTR-2B'!$G:$G,$B133,'GSTR-2B'!N:N)</f>
        <v/>
      </c>
      <c r="O133" s="4">
        <f>SUMIF('GSTR-2B'!$G:$G,$B133,'GSTR-2B'!O:O)</f>
        <v/>
      </c>
      <c r="P133" t="n">
        <v>0</v>
      </c>
      <c r="Q133" s="4">
        <f>+E133-K133</f>
        <v/>
      </c>
      <c r="R133" s="4">
        <f>+F133-L133</f>
        <v/>
      </c>
      <c r="S133" s="4">
        <f>+G133-M133</f>
        <v/>
      </c>
      <c r="T133" s="4">
        <f>+H133-N133</f>
        <v/>
      </c>
      <c r="U133" s="4">
        <f>+I133-O133</f>
        <v/>
      </c>
      <c r="V133" t="n">
        <v>0</v>
      </c>
      <c r="W133">
        <f>VLOOKUP(A133,'GST Wise Reco'!$A$4:$T$30,20,0)</f>
        <v/>
      </c>
      <c r="X133" t="inlineStr">
        <is>
          <t>Vendor are show in 2B - Tax Invoices and CN</t>
        </is>
      </c>
      <c r="Y133" s="6" t="inlineStr">
        <is>
          <t>Vendor are show in 2B - Tax Invoices and CN</t>
        </is>
      </c>
    </row>
    <row r="134">
      <c r="A134" t="inlineStr">
        <is>
          <t>AAOCS8108A</t>
        </is>
      </c>
      <c r="B134" t="inlineStr">
        <is>
          <t>AAOCS8108A_SB2526968</t>
        </is>
      </c>
      <c r="D134" t="n">
        <v>0</v>
      </c>
      <c r="E134" s="4">
        <f>SUMIF(Book!$G:$G,$B134,Book!J:J)</f>
        <v/>
      </c>
      <c r="F134" s="4">
        <f>SUMIF(Book!$G:$G,$B134,Book!L:L)</f>
        <v/>
      </c>
      <c r="G134" s="4">
        <f>SUMIF(Book!$G:$G,$B134,Book!M:M)</f>
        <v/>
      </c>
      <c r="H134" s="4">
        <f>SUMIF(Book!$G:$G,$B134,Book!N:N)</f>
        <v/>
      </c>
      <c r="I134" s="4">
        <f>SUMIF(Book!$G:$G,$B134,Book!O:O)</f>
        <v/>
      </c>
      <c r="J134" t="n">
        <v>0</v>
      </c>
      <c r="K134" s="4">
        <f>SUMIF('GSTR-2B'!$G:$G,$B134,'GSTR-2B'!J:J)</f>
        <v/>
      </c>
      <c r="L134" s="4">
        <f>SUMIF('GSTR-2B'!$G:$G,$B134,'GSTR-2B'!L:L)</f>
        <v/>
      </c>
      <c r="M134" s="4">
        <f>SUMIF('GSTR-2B'!$G:$G,$B134,'GSTR-2B'!M:M)</f>
        <v/>
      </c>
      <c r="N134" s="4">
        <f>SUMIF('GSTR-2B'!$G:$G,$B134,'GSTR-2B'!N:N)</f>
        <v/>
      </c>
      <c r="O134" s="4">
        <f>SUMIF('GSTR-2B'!$G:$G,$B134,'GSTR-2B'!O:O)</f>
        <v/>
      </c>
      <c r="P134" t="n">
        <v>0</v>
      </c>
      <c r="Q134" s="4">
        <f>+E134-K134</f>
        <v/>
      </c>
      <c r="R134" s="4">
        <f>+F134-L134</f>
        <v/>
      </c>
      <c r="S134" s="4">
        <f>+G134-M134</f>
        <v/>
      </c>
      <c r="T134" s="4">
        <f>+H134-N134</f>
        <v/>
      </c>
      <c r="U134" s="4">
        <f>+I134-O134</f>
        <v/>
      </c>
      <c r="V134" t="n">
        <v>0</v>
      </c>
      <c r="W134">
        <f>VLOOKUP(A134,'GST Wise Reco'!$A$4:$T$30,20,0)</f>
        <v/>
      </c>
      <c r="X134" t="inlineStr">
        <is>
          <t>Vendor are show in 2B - Tax Invoices and CN</t>
        </is>
      </c>
      <c r="Y134" s="6" t="inlineStr">
        <is>
          <t>Vendor are show in 2B - Tax Invoices and CN</t>
        </is>
      </c>
    </row>
    <row r="135">
      <c r="A135" t="inlineStr">
        <is>
          <t>AAOCS8108A</t>
        </is>
      </c>
      <c r="B135" t="inlineStr">
        <is>
          <t>AAOCS8108A_SB2526969</t>
        </is>
      </c>
      <c r="D135" t="n">
        <v>0</v>
      </c>
      <c r="E135" s="4">
        <f>SUMIF(Book!$G:$G,$B135,Book!J:J)</f>
        <v/>
      </c>
      <c r="F135" s="4">
        <f>SUMIF(Book!$G:$G,$B135,Book!L:L)</f>
        <v/>
      </c>
      <c r="G135" s="4">
        <f>SUMIF(Book!$G:$G,$B135,Book!M:M)</f>
        <v/>
      </c>
      <c r="H135" s="4">
        <f>SUMIF(Book!$G:$G,$B135,Book!N:N)</f>
        <v/>
      </c>
      <c r="I135" s="4">
        <f>SUMIF(Book!$G:$G,$B135,Book!O:O)</f>
        <v/>
      </c>
      <c r="J135" t="n">
        <v>0</v>
      </c>
      <c r="K135" s="4">
        <f>SUMIF('GSTR-2B'!$G:$G,$B135,'GSTR-2B'!J:J)</f>
        <v/>
      </c>
      <c r="L135" s="4">
        <f>SUMIF('GSTR-2B'!$G:$G,$B135,'GSTR-2B'!L:L)</f>
        <v/>
      </c>
      <c r="M135" s="4">
        <f>SUMIF('GSTR-2B'!$G:$G,$B135,'GSTR-2B'!M:M)</f>
        <v/>
      </c>
      <c r="N135" s="4">
        <f>SUMIF('GSTR-2B'!$G:$G,$B135,'GSTR-2B'!N:N)</f>
        <v/>
      </c>
      <c r="O135" s="4">
        <f>SUMIF('GSTR-2B'!$G:$G,$B135,'GSTR-2B'!O:O)</f>
        <v/>
      </c>
      <c r="P135" t="n">
        <v>0</v>
      </c>
      <c r="Q135" s="4">
        <f>+E135-K135</f>
        <v/>
      </c>
      <c r="R135" s="4">
        <f>+F135-L135</f>
        <v/>
      </c>
      <c r="S135" s="4">
        <f>+G135-M135</f>
        <v/>
      </c>
      <c r="T135" s="4">
        <f>+H135-N135</f>
        <v/>
      </c>
      <c r="U135" s="4">
        <f>+I135-O135</f>
        <v/>
      </c>
      <c r="V135" t="n">
        <v>0</v>
      </c>
      <c r="W135">
        <f>VLOOKUP(A135,'GST Wise Reco'!$A$4:$T$30,20,0)</f>
        <v/>
      </c>
      <c r="X135" t="inlineStr">
        <is>
          <t>Vendor are show in 2B - Tax Invoices and CN</t>
        </is>
      </c>
      <c r="Y135" s="6" t="inlineStr">
        <is>
          <t>Vendor are show in 2B - Tax Invoices and CN</t>
        </is>
      </c>
    </row>
    <row r="136">
      <c r="A136" t="inlineStr">
        <is>
          <t>AAOCS8108A</t>
        </is>
      </c>
      <c r="B136" t="inlineStr">
        <is>
          <t>AAOCS8108A_SB2526970</t>
        </is>
      </c>
      <c r="D136" t="n">
        <v>0</v>
      </c>
      <c r="E136" s="4">
        <f>SUMIF(Book!$G:$G,$B136,Book!J:J)</f>
        <v/>
      </c>
      <c r="F136" s="4">
        <f>SUMIF(Book!$G:$G,$B136,Book!L:L)</f>
        <v/>
      </c>
      <c r="G136" s="4">
        <f>SUMIF(Book!$G:$G,$B136,Book!M:M)</f>
        <v/>
      </c>
      <c r="H136" s="4">
        <f>SUMIF(Book!$G:$G,$B136,Book!N:N)</f>
        <v/>
      </c>
      <c r="I136" s="4">
        <f>SUMIF(Book!$G:$G,$B136,Book!O:O)</f>
        <v/>
      </c>
      <c r="J136" t="n">
        <v>0</v>
      </c>
      <c r="K136" s="4">
        <f>SUMIF('GSTR-2B'!$G:$G,$B136,'GSTR-2B'!J:J)</f>
        <v/>
      </c>
      <c r="L136" s="4">
        <f>SUMIF('GSTR-2B'!$G:$G,$B136,'GSTR-2B'!L:L)</f>
        <v/>
      </c>
      <c r="M136" s="4">
        <f>SUMIF('GSTR-2B'!$G:$G,$B136,'GSTR-2B'!M:M)</f>
        <v/>
      </c>
      <c r="N136" s="4">
        <f>SUMIF('GSTR-2B'!$G:$G,$B136,'GSTR-2B'!N:N)</f>
        <v/>
      </c>
      <c r="O136" s="4">
        <f>SUMIF('GSTR-2B'!$G:$G,$B136,'GSTR-2B'!O:O)</f>
        <v/>
      </c>
      <c r="P136" t="n">
        <v>0</v>
      </c>
      <c r="Q136" s="4">
        <f>+E136-K136</f>
        <v/>
      </c>
      <c r="R136" s="4">
        <f>+F136-L136</f>
        <v/>
      </c>
      <c r="S136" s="4">
        <f>+G136-M136</f>
        <v/>
      </c>
      <c r="T136" s="4">
        <f>+H136-N136</f>
        <v/>
      </c>
      <c r="U136" s="4">
        <f>+I136-O136</f>
        <v/>
      </c>
      <c r="V136" t="n">
        <v>0</v>
      </c>
      <c r="W136">
        <f>VLOOKUP(A136,'GST Wise Reco'!$A$4:$T$30,20,0)</f>
        <v/>
      </c>
      <c r="X136" t="inlineStr">
        <is>
          <t>Vendor are show in 2B - Tax Invoices and CN</t>
        </is>
      </c>
      <c r="Y136" s="6" t="inlineStr">
        <is>
          <t>Vendor are show in 2B - Tax Invoices and CN</t>
        </is>
      </c>
    </row>
    <row r="137">
      <c r="A137" t="inlineStr">
        <is>
          <t>AAOCS8108A</t>
        </is>
      </c>
      <c r="B137" t="inlineStr">
        <is>
          <t>AAOCS8108A_SB2526971</t>
        </is>
      </c>
      <c r="D137" t="n">
        <v>0</v>
      </c>
      <c r="E137" s="4">
        <f>SUMIF(Book!$G:$G,$B137,Book!J:J)</f>
        <v/>
      </c>
      <c r="F137" s="4">
        <f>SUMIF(Book!$G:$G,$B137,Book!L:L)</f>
        <v/>
      </c>
      <c r="G137" s="4">
        <f>SUMIF(Book!$G:$G,$B137,Book!M:M)</f>
        <v/>
      </c>
      <c r="H137" s="4">
        <f>SUMIF(Book!$G:$G,$B137,Book!N:N)</f>
        <v/>
      </c>
      <c r="I137" s="4">
        <f>SUMIF(Book!$G:$G,$B137,Book!O:O)</f>
        <v/>
      </c>
      <c r="J137" t="n">
        <v>0</v>
      </c>
      <c r="K137" s="4">
        <f>SUMIF('GSTR-2B'!$G:$G,$B137,'GSTR-2B'!J:J)</f>
        <v/>
      </c>
      <c r="L137" s="4">
        <f>SUMIF('GSTR-2B'!$G:$G,$B137,'GSTR-2B'!L:L)</f>
        <v/>
      </c>
      <c r="M137" s="4">
        <f>SUMIF('GSTR-2B'!$G:$G,$B137,'GSTR-2B'!M:M)</f>
        <v/>
      </c>
      <c r="N137" s="4">
        <f>SUMIF('GSTR-2B'!$G:$G,$B137,'GSTR-2B'!N:N)</f>
        <v/>
      </c>
      <c r="O137" s="4">
        <f>SUMIF('GSTR-2B'!$G:$G,$B137,'GSTR-2B'!O:O)</f>
        <v/>
      </c>
      <c r="P137" t="n">
        <v>0</v>
      </c>
      <c r="Q137" s="4">
        <f>+E137-K137</f>
        <v/>
      </c>
      <c r="R137" s="4">
        <f>+F137-L137</f>
        <v/>
      </c>
      <c r="S137" s="4">
        <f>+G137-M137</f>
        <v/>
      </c>
      <c r="T137" s="4">
        <f>+H137-N137</f>
        <v/>
      </c>
      <c r="U137" s="4">
        <f>+I137-O137</f>
        <v/>
      </c>
      <c r="V137" t="n">
        <v>0</v>
      </c>
      <c r="W137">
        <f>VLOOKUP(A137,'GST Wise Reco'!$A$4:$T$30,20,0)</f>
        <v/>
      </c>
      <c r="X137" t="inlineStr">
        <is>
          <t>Vendor are show in 2B - Tax Invoices and CN</t>
        </is>
      </c>
      <c r="Y137" s="6" t="inlineStr">
        <is>
          <t>Vendor are show in 2B - Tax Invoices and CN</t>
        </is>
      </c>
    </row>
    <row r="138">
      <c r="A138" t="inlineStr">
        <is>
          <t>AAPCS9984F</t>
        </is>
      </c>
      <c r="B138" t="inlineStr">
        <is>
          <t>AAPCS9984F_SWPLDEC25-26/147</t>
        </is>
      </c>
      <c r="D138" t="n">
        <v>0</v>
      </c>
      <c r="E138" s="4">
        <f>SUMIF(Book!$G:$G,$B138,Book!J:J)</f>
        <v/>
      </c>
      <c r="F138" s="4">
        <f>SUMIF(Book!$G:$G,$B138,Book!L:L)</f>
        <v/>
      </c>
      <c r="G138" s="4">
        <f>SUMIF(Book!$G:$G,$B138,Book!M:M)</f>
        <v/>
      </c>
      <c r="H138" s="4">
        <f>SUMIF(Book!$G:$G,$B138,Book!N:N)</f>
        <v/>
      </c>
      <c r="I138" s="4">
        <f>SUMIF(Book!$G:$G,$B138,Book!O:O)</f>
        <v/>
      </c>
      <c r="J138" t="n">
        <v>0</v>
      </c>
      <c r="K138" s="4">
        <f>SUMIF('GSTR-2B'!$G:$G,$B138,'GSTR-2B'!J:J)</f>
        <v/>
      </c>
      <c r="L138" s="4">
        <f>SUMIF('GSTR-2B'!$G:$G,$B138,'GSTR-2B'!L:L)</f>
        <v/>
      </c>
      <c r="M138" s="4">
        <f>SUMIF('GSTR-2B'!$G:$G,$B138,'GSTR-2B'!M:M)</f>
        <v/>
      </c>
      <c r="N138" s="4">
        <f>SUMIF('GSTR-2B'!$G:$G,$B138,'GSTR-2B'!N:N)</f>
        <v/>
      </c>
      <c r="O138" s="4">
        <f>SUMIF('GSTR-2B'!$G:$G,$B138,'GSTR-2B'!O:O)</f>
        <v/>
      </c>
      <c r="P138" t="n">
        <v>0</v>
      </c>
      <c r="Q138" s="4">
        <f>+E138-K138</f>
        <v/>
      </c>
      <c r="R138" s="4">
        <f>+F138-L138</f>
        <v/>
      </c>
      <c r="S138" s="4">
        <f>+G138-M138</f>
        <v/>
      </c>
      <c r="T138" s="4">
        <f>+H138-N138</f>
        <v/>
      </c>
      <c r="U138" s="4">
        <f>+I138-O138</f>
        <v/>
      </c>
      <c r="V138" t="n">
        <v>0</v>
      </c>
      <c r="W138">
        <f>VLOOKUP(A138,'GST Wise Reco'!$A$4:$T$30,20,0)</f>
        <v/>
      </c>
      <c r="X138" t="inlineStr">
        <is>
          <t>Book And 2B Match</t>
        </is>
      </c>
      <c r="Y138" s="5" t="inlineStr">
        <is>
          <t>Book And 2B Match</t>
        </is>
      </c>
    </row>
    <row r="139">
      <c r="A139" t="inlineStr">
        <is>
          <t>AAPCS9984F</t>
        </is>
      </c>
      <c r="B139" t="inlineStr">
        <is>
          <t>AAPCS9984F_SWPLJUL25-26/141</t>
        </is>
      </c>
      <c r="D139" t="n">
        <v>0</v>
      </c>
      <c r="E139" s="4">
        <f>SUMIF(Book!$G:$G,$B139,Book!J:J)</f>
        <v/>
      </c>
      <c r="F139" s="4">
        <f>SUMIF(Book!$G:$G,$B139,Book!L:L)</f>
        <v/>
      </c>
      <c r="G139" s="4">
        <f>SUMIF(Book!$G:$G,$B139,Book!M:M)</f>
        <v/>
      </c>
      <c r="H139" s="4">
        <f>SUMIF(Book!$G:$G,$B139,Book!N:N)</f>
        <v/>
      </c>
      <c r="I139" s="4">
        <f>SUMIF(Book!$G:$G,$B139,Book!O:O)</f>
        <v/>
      </c>
      <c r="J139" t="n">
        <v>0</v>
      </c>
      <c r="K139" s="4">
        <f>SUMIF('GSTR-2B'!$G:$G,$B139,'GSTR-2B'!J:J)</f>
        <v/>
      </c>
      <c r="L139" s="4">
        <f>SUMIF('GSTR-2B'!$G:$G,$B139,'GSTR-2B'!L:L)</f>
        <v/>
      </c>
      <c r="M139" s="4">
        <f>SUMIF('GSTR-2B'!$G:$G,$B139,'GSTR-2B'!M:M)</f>
        <v/>
      </c>
      <c r="N139" s="4">
        <f>SUMIF('GSTR-2B'!$G:$G,$B139,'GSTR-2B'!N:N)</f>
        <v/>
      </c>
      <c r="O139" s="4">
        <f>SUMIF('GSTR-2B'!$G:$G,$B139,'GSTR-2B'!O:O)</f>
        <v/>
      </c>
      <c r="P139" t="n">
        <v>0</v>
      </c>
      <c r="Q139" s="4">
        <f>+E139-K139</f>
        <v/>
      </c>
      <c r="R139" s="4">
        <f>+F139-L139</f>
        <v/>
      </c>
      <c r="S139" s="4">
        <f>+G139-M139</f>
        <v/>
      </c>
      <c r="T139" s="4">
        <f>+H139-N139</f>
        <v/>
      </c>
      <c r="U139" s="4">
        <f>+I139-O139</f>
        <v/>
      </c>
      <c r="V139" t="n">
        <v>0</v>
      </c>
      <c r="W139">
        <f>VLOOKUP(A139,'GST Wise Reco'!$A$4:$T$30,20,0)</f>
        <v/>
      </c>
      <c r="X139" t="inlineStr">
        <is>
          <t>Book And 2B Match</t>
        </is>
      </c>
      <c r="Y139" s="5" t="inlineStr">
        <is>
          <t>Book And 2B Match</t>
        </is>
      </c>
    </row>
    <row r="140">
      <c r="A140" t="inlineStr">
        <is>
          <t>AAPCS9984F</t>
        </is>
      </c>
      <c r="B140" t="inlineStr">
        <is>
          <t>AAPCS9984F_SWPLJUN25-26/100</t>
        </is>
      </c>
      <c r="D140" t="n">
        <v>0</v>
      </c>
      <c r="E140" s="4">
        <f>SUMIF(Book!$G:$G,$B140,Book!J:J)</f>
        <v/>
      </c>
      <c r="F140" s="4">
        <f>SUMIF(Book!$G:$G,$B140,Book!L:L)</f>
        <v/>
      </c>
      <c r="G140" s="4">
        <f>SUMIF(Book!$G:$G,$B140,Book!M:M)</f>
        <v/>
      </c>
      <c r="H140" s="4">
        <f>SUMIF(Book!$G:$G,$B140,Book!N:N)</f>
        <v/>
      </c>
      <c r="I140" s="4">
        <f>SUMIF(Book!$G:$G,$B140,Book!O:O)</f>
        <v/>
      </c>
      <c r="J140" t="n">
        <v>0</v>
      </c>
      <c r="K140" s="4">
        <f>SUMIF('GSTR-2B'!$G:$G,$B140,'GSTR-2B'!J:J)</f>
        <v/>
      </c>
      <c r="L140" s="4">
        <f>SUMIF('GSTR-2B'!$G:$G,$B140,'GSTR-2B'!L:L)</f>
        <v/>
      </c>
      <c r="M140" s="4">
        <f>SUMIF('GSTR-2B'!$G:$G,$B140,'GSTR-2B'!M:M)</f>
        <v/>
      </c>
      <c r="N140" s="4">
        <f>SUMIF('GSTR-2B'!$G:$G,$B140,'GSTR-2B'!N:N)</f>
        <v/>
      </c>
      <c r="O140" s="4">
        <f>SUMIF('GSTR-2B'!$G:$G,$B140,'GSTR-2B'!O:O)</f>
        <v/>
      </c>
      <c r="P140" t="n">
        <v>0</v>
      </c>
      <c r="Q140" s="4">
        <f>+E140-K140</f>
        <v/>
      </c>
      <c r="R140" s="4">
        <f>+F140-L140</f>
        <v/>
      </c>
      <c r="S140" s="4">
        <f>+G140-M140</f>
        <v/>
      </c>
      <c r="T140" s="4">
        <f>+H140-N140</f>
        <v/>
      </c>
      <c r="U140" s="4">
        <f>+I140-O140</f>
        <v/>
      </c>
      <c r="V140" t="n">
        <v>0</v>
      </c>
      <c r="W140">
        <f>VLOOKUP(A140,'GST Wise Reco'!$A$4:$T$30,20,0)</f>
        <v/>
      </c>
      <c r="X140" t="inlineStr">
        <is>
          <t>Book And 2B Match</t>
        </is>
      </c>
      <c r="Y140" s="5" t="inlineStr">
        <is>
          <t>Book And 2B Match</t>
        </is>
      </c>
    </row>
    <row r="141">
      <c r="A141" t="inlineStr">
        <is>
          <t>AAQCM8669N</t>
        </is>
      </c>
      <c r="B141" t="inlineStr">
        <is>
          <t>AAQCM8669N_MCPL/25-26/20</t>
        </is>
      </c>
      <c r="D141" t="n">
        <v>0</v>
      </c>
      <c r="E141" s="4">
        <f>SUMIF(Book!$G:$G,$B141,Book!J:J)</f>
        <v/>
      </c>
      <c r="F141" s="4">
        <f>SUMIF(Book!$G:$G,$B141,Book!L:L)</f>
        <v/>
      </c>
      <c r="G141" s="4">
        <f>SUMIF(Book!$G:$G,$B141,Book!M:M)</f>
        <v/>
      </c>
      <c r="H141" s="4">
        <f>SUMIF(Book!$G:$G,$B141,Book!N:N)</f>
        <v/>
      </c>
      <c r="I141" s="4">
        <f>SUMIF(Book!$G:$G,$B141,Book!O:O)</f>
        <v/>
      </c>
      <c r="J141" t="n">
        <v>0</v>
      </c>
      <c r="K141" s="4">
        <f>SUMIF('GSTR-2B'!$G:$G,$B141,'GSTR-2B'!J:J)</f>
        <v/>
      </c>
      <c r="L141" s="4">
        <f>SUMIF('GSTR-2B'!$G:$G,$B141,'GSTR-2B'!L:L)</f>
        <v/>
      </c>
      <c r="M141" s="4">
        <f>SUMIF('GSTR-2B'!$G:$G,$B141,'GSTR-2B'!M:M)</f>
        <v/>
      </c>
      <c r="N141" s="4">
        <f>SUMIF('GSTR-2B'!$G:$G,$B141,'GSTR-2B'!N:N)</f>
        <v/>
      </c>
      <c r="O141" s="4">
        <f>SUMIF('GSTR-2B'!$G:$G,$B141,'GSTR-2B'!O:O)</f>
        <v/>
      </c>
      <c r="P141" t="n">
        <v>0</v>
      </c>
      <c r="Q141" s="4">
        <f>+E141-K141</f>
        <v/>
      </c>
      <c r="R141" s="4">
        <f>+F141-L141</f>
        <v/>
      </c>
      <c r="S141" s="4">
        <f>+G141-M141</f>
        <v/>
      </c>
      <c r="T141" s="4">
        <f>+H141-N141</f>
        <v/>
      </c>
      <c r="U141" s="4">
        <f>+I141-O141</f>
        <v/>
      </c>
      <c r="V141" t="n">
        <v>0</v>
      </c>
      <c r="W141">
        <f>VLOOKUP(A141,'GST Wise Reco'!$A$4:$T$30,20,0)</f>
        <v/>
      </c>
      <c r="X141" t="inlineStr">
        <is>
          <t>Book And 2B Match</t>
        </is>
      </c>
      <c r="Y141" s="5" t="inlineStr">
        <is>
          <t>Book And 2B Match</t>
        </is>
      </c>
    </row>
    <row r="142">
      <c r="A142" t="inlineStr">
        <is>
          <t>AAQCM8669N</t>
        </is>
      </c>
      <c r="B142" t="inlineStr">
        <is>
          <t>AAQCM8669N_MCPL/25-26/24</t>
        </is>
      </c>
      <c r="D142" t="n">
        <v>0</v>
      </c>
      <c r="E142" s="4">
        <f>SUMIF(Book!$G:$G,$B142,Book!J:J)</f>
        <v/>
      </c>
      <c r="F142" s="4">
        <f>SUMIF(Book!$G:$G,$B142,Book!L:L)</f>
        <v/>
      </c>
      <c r="G142" s="4">
        <f>SUMIF(Book!$G:$G,$B142,Book!M:M)</f>
        <v/>
      </c>
      <c r="H142" s="4">
        <f>SUMIF(Book!$G:$G,$B142,Book!N:N)</f>
        <v/>
      </c>
      <c r="I142" s="4">
        <f>SUMIF(Book!$G:$G,$B142,Book!O:O)</f>
        <v/>
      </c>
      <c r="J142" t="n">
        <v>0</v>
      </c>
      <c r="K142" s="4">
        <f>SUMIF('GSTR-2B'!$G:$G,$B142,'GSTR-2B'!J:J)</f>
        <v/>
      </c>
      <c r="L142" s="4">
        <f>SUMIF('GSTR-2B'!$G:$G,$B142,'GSTR-2B'!L:L)</f>
        <v/>
      </c>
      <c r="M142" s="4">
        <f>SUMIF('GSTR-2B'!$G:$G,$B142,'GSTR-2B'!M:M)</f>
        <v/>
      </c>
      <c r="N142" s="4">
        <f>SUMIF('GSTR-2B'!$G:$G,$B142,'GSTR-2B'!N:N)</f>
        <v/>
      </c>
      <c r="O142" s="4">
        <f>SUMIF('GSTR-2B'!$G:$G,$B142,'GSTR-2B'!O:O)</f>
        <v/>
      </c>
      <c r="P142" t="n">
        <v>0</v>
      </c>
      <c r="Q142" s="4">
        <f>+E142-K142</f>
        <v/>
      </c>
      <c r="R142" s="4">
        <f>+F142-L142</f>
        <v/>
      </c>
      <c r="S142" s="4">
        <f>+G142-M142</f>
        <v/>
      </c>
      <c r="T142" s="4">
        <f>+H142-N142</f>
        <v/>
      </c>
      <c r="U142" s="4">
        <f>+I142-O142</f>
        <v/>
      </c>
      <c r="V142" t="n">
        <v>0</v>
      </c>
      <c r="W142">
        <f>VLOOKUP(A142,'GST Wise Reco'!$A$4:$T$30,20,0)</f>
        <v/>
      </c>
      <c r="X142" t="inlineStr">
        <is>
          <t>Book And 2B Match</t>
        </is>
      </c>
      <c r="Y142" s="5" t="inlineStr">
        <is>
          <t>Book And 2B Match</t>
        </is>
      </c>
    </row>
    <row r="143">
      <c r="A143" t="inlineStr">
        <is>
          <t>AAQCM8669N</t>
        </is>
      </c>
      <c r="B143" t="inlineStr">
        <is>
          <t>AAQCM8669N_MCPL/25-26/34</t>
        </is>
      </c>
      <c r="D143" t="n">
        <v>0</v>
      </c>
      <c r="E143" s="4">
        <f>SUMIF(Book!$G:$G,$B143,Book!J:J)</f>
        <v/>
      </c>
      <c r="F143" s="4">
        <f>SUMIF(Book!$G:$G,$B143,Book!L:L)</f>
        <v/>
      </c>
      <c r="G143" s="4">
        <f>SUMIF(Book!$G:$G,$B143,Book!M:M)</f>
        <v/>
      </c>
      <c r="H143" s="4">
        <f>SUMIF(Book!$G:$G,$B143,Book!N:N)</f>
        <v/>
      </c>
      <c r="I143" s="4">
        <f>SUMIF(Book!$G:$G,$B143,Book!O:O)</f>
        <v/>
      </c>
      <c r="J143" t="n">
        <v>0</v>
      </c>
      <c r="K143" s="4">
        <f>SUMIF('GSTR-2B'!$G:$G,$B143,'GSTR-2B'!J:J)</f>
        <v/>
      </c>
      <c r="L143" s="4">
        <f>SUMIF('GSTR-2B'!$G:$G,$B143,'GSTR-2B'!L:L)</f>
        <v/>
      </c>
      <c r="M143" s="4">
        <f>SUMIF('GSTR-2B'!$G:$G,$B143,'GSTR-2B'!M:M)</f>
        <v/>
      </c>
      <c r="N143" s="4">
        <f>SUMIF('GSTR-2B'!$G:$G,$B143,'GSTR-2B'!N:N)</f>
        <v/>
      </c>
      <c r="O143" s="4">
        <f>SUMIF('GSTR-2B'!$G:$G,$B143,'GSTR-2B'!O:O)</f>
        <v/>
      </c>
      <c r="P143" t="n">
        <v>0</v>
      </c>
      <c r="Q143" s="4">
        <f>+E143-K143</f>
        <v/>
      </c>
      <c r="R143" s="4">
        <f>+F143-L143</f>
        <v/>
      </c>
      <c r="S143" s="4">
        <f>+G143-M143</f>
        <v/>
      </c>
      <c r="T143" s="4">
        <f>+H143-N143</f>
        <v/>
      </c>
      <c r="U143" s="4">
        <f>+I143-O143</f>
        <v/>
      </c>
      <c r="V143" t="n">
        <v>0</v>
      </c>
      <c r="W143">
        <f>VLOOKUP(A143,'GST Wise Reco'!$A$4:$T$30,20,0)</f>
        <v/>
      </c>
      <c r="X143" t="inlineStr">
        <is>
          <t>Vendor are show in 2B - Tax Invoices and CN</t>
        </is>
      </c>
      <c r="Y143" s="6" t="inlineStr">
        <is>
          <t>Vendor are show in 2B - Tax Invoices and CN</t>
        </is>
      </c>
    </row>
    <row r="144">
      <c r="A144" t="inlineStr">
        <is>
          <t>AAQCM8669N</t>
        </is>
      </c>
      <c r="B144" t="inlineStr">
        <is>
          <t>AAQCM8669N_MCPL/25-26/41</t>
        </is>
      </c>
      <c r="D144" t="n">
        <v>0</v>
      </c>
      <c r="E144" s="4">
        <f>SUMIF(Book!$G:$G,$B144,Book!J:J)</f>
        <v/>
      </c>
      <c r="F144" s="4">
        <f>SUMIF(Book!$G:$G,$B144,Book!L:L)</f>
        <v/>
      </c>
      <c r="G144" s="4">
        <f>SUMIF(Book!$G:$G,$B144,Book!M:M)</f>
        <v/>
      </c>
      <c r="H144" s="4">
        <f>SUMIF(Book!$G:$G,$B144,Book!N:N)</f>
        <v/>
      </c>
      <c r="I144" s="4">
        <f>SUMIF(Book!$G:$G,$B144,Book!O:O)</f>
        <v/>
      </c>
      <c r="J144" t="n">
        <v>0</v>
      </c>
      <c r="K144" s="4">
        <f>SUMIF('GSTR-2B'!$G:$G,$B144,'GSTR-2B'!J:J)</f>
        <v/>
      </c>
      <c r="L144" s="4">
        <f>SUMIF('GSTR-2B'!$G:$G,$B144,'GSTR-2B'!L:L)</f>
        <v/>
      </c>
      <c r="M144" s="4">
        <f>SUMIF('GSTR-2B'!$G:$G,$B144,'GSTR-2B'!M:M)</f>
        <v/>
      </c>
      <c r="N144" s="4">
        <f>SUMIF('GSTR-2B'!$G:$G,$B144,'GSTR-2B'!N:N)</f>
        <v/>
      </c>
      <c r="O144" s="4">
        <f>SUMIF('GSTR-2B'!$G:$G,$B144,'GSTR-2B'!O:O)</f>
        <v/>
      </c>
      <c r="P144" t="n">
        <v>0</v>
      </c>
      <c r="Q144" s="4">
        <f>+E144-K144</f>
        <v/>
      </c>
      <c r="R144" s="4">
        <f>+F144-L144</f>
        <v/>
      </c>
      <c r="S144" s="4">
        <f>+G144-M144</f>
        <v/>
      </c>
      <c r="T144" s="4">
        <f>+H144-N144</f>
        <v/>
      </c>
      <c r="U144" s="4">
        <f>+I144-O144</f>
        <v/>
      </c>
      <c r="V144" t="n">
        <v>0</v>
      </c>
      <c r="W144">
        <f>VLOOKUP(A144,'GST Wise Reco'!$A$4:$T$30,20,0)</f>
        <v/>
      </c>
      <c r="X144" t="inlineStr">
        <is>
          <t>Book And 2B Match</t>
        </is>
      </c>
      <c r="Y144" s="5" t="inlineStr">
        <is>
          <t>Book And 2B Match</t>
        </is>
      </c>
    </row>
    <row r="145">
      <c r="A145" t="inlineStr">
        <is>
          <t>AAQCM8669N</t>
        </is>
      </c>
      <c r="B145" t="inlineStr">
        <is>
          <t>AAQCM8669N_MCPL/25-26/49</t>
        </is>
      </c>
      <c r="D145" t="n">
        <v>0</v>
      </c>
      <c r="E145" s="4">
        <f>SUMIF(Book!$G:$G,$B145,Book!J:J)</f>
        <v/>
      </c>
      <c r="F145" s="4">
        <f>SUMIF(Book!$G:$G,$B145,Book!L:L)</f>
        <v/>
      </c>
      <c r="G145" s="4">
        <f>SUMIF(Book!$G:$G,$B145,Book!M:M)</f>
        <v/>
      </c>
      <c r="H145" s="4">
        <f>SUMIF(Book!$G:$G,$B145,Book!N:N)</f>
        <v/>
      </c>
      <c r="I145" s="4">
        <f>SUMIF(Book!$G:$G,$B145,Book!O:O)</f>
        <v/>
      </c>
      <c r="J145" t="n">
        <v>0</v>
      </c>
      <c r="K145" s="4">
        <f>SUMIF('GSTR-2B'!$G:$G,$B145,'GSTR-2B'!J:J)</f>
        <v/>
      </c>
      <c r="L145" s="4">
        <f>SUMIF('GSTR-2B'!$G:$G,$B145,'GSTR-2B'!L:L)</f>
        <v/>
      </c>
      <c r="M145" s="4">
        <f>SUMIF('GSTR-2B'!$G:$G,$B145,'GSTR-2B'!M:M)</f>
        <v/>
      </c>
      <c r="N145" s="4">
        <f>SUMIF('GSTR-2B'!$G:$G,$B145,'GSTR-2B'!N:N)</f>
        <v/>
      </c>
      <c r="O145" s="4">
        <f>SUMIF('GSTR-2B'!$G:$G,$B145,'GSTR-2B'!O:O)</f>
        <v/>
      </c>
      <c r="P145" t="n">
        <v>0</v>
      </c>
      <c r="Q145" s="4">
        <f>+E145-K145</f>
        <v/>
      </c>
      <c r="R145" s="4">
        <f>+F145-L145</f>
        <v/>
      </c>
      <c r="S145" s="4">
        <f>+G145-M145</f>
        <v/>
      </c>
      <c r="T145" s="4">
        <f>+H145-N145</f>
        <v/>
      </c>
      <c r="U145" s="4">
        <f>+I145-O145</f>
        <v/>
      </c>
      <c r="V145" t="n">
        <v>0</v>
      </c>
      <c r="W145">
        <f>VLOOKUP(A145,'GST Wise Reco'!$A$4:$T$30,20,0)</f>
        <v/>
      </c>
      <c r="X145" t="inlineStr">
        <is>
          <t>Book And 2B Match</t>
        </is>
      </c>
      <c r="Y145" s="5" t="inlineStr">
        <is>
          <t>Book And 2B Match</t>
        </is>
      </c>
    </row>
    <row r="146">
      <c r="A146" t="inlineStr">
        <is>
          <t>AAQCM8669N</t>
        </is>
      </c>
      <c r="B146" t="inlineStr">
        <is>
          <t>AAQCM8669N_MCPL/25-26/55</t>
        </is>
      </c>
      <c r="D146" t="n">
        <v>0</v>
      </c>
      <c r="E146" s="4">
        <f>SUMIF(Book!$G:$G,$B146,Book!J:J)</f>
        <v/>
      </c>
      <c r="F146" s="4">
        <f>SUMIF(Book!$G:$G,$B146,Book!L:L)</f>
        <v/>
      </c>
      <c r="G146" s="4">
        <f>SUMIF(Book!$G:$G,$B146,Book!M:M)</f>
        <v/>
      </c>
      <c r="H146" s="4">
        <f>SUMIF(Book!$G:$G,$B146,Book!N:N)</f>
        <v/>
      </c>
      <c r="I146" s="4">
        <f>SUMIF(Book!$G:$G,$B146,Book!O:O)</f>
        <v/>
      </c>
      <c r="J146" t="n">
        <v>0</v>
      </c>
      <c r="K146" s="4">
        <f>SUMIF('GSTR-2B'!$G:$G,$B146,'GSTR-2B'!J:J)</f>
        <v/>
      </c>
      <c r="L146" s="4">
        <f>SUMIF('GSTR-2B'!$G:$G,$B146,'GSTR-2B'!L:L)</f>
        <v/>
      </c>
      <c r="M146" s="4">
        <f>SUMIF('GSTR-2B'!$G:$G,$B146,'GSTR-2B'!M:M)</f>
        <v/>
      </c>
      <c r="N146" s="4">
        <f>SUMIF('GSTR-2B'!$G:$G,$B146,'GSTR-2B'!N:N)</f>
        <v/>
      </c>
      <c r="O146" s="4">
        <f>SUMIF('GSTR-2B'!$G:$G,$B146,'GSTR-2B'!O:O)</f>
        <v/>
      </c>
      <c r="P146" t="n">
        <v>0</v>
      </c>
      <c r="Q146" s="4">
        <f>+E146-K146</f>
        <v/>
      </c>
      <c r="R146" s="4">
        <f>+F146-L146</f>
        <v/>
      </c>
      <c r="S146" s="4">
        <f>+G146-M146</f>
        <v/>
      </c>
      <c r="T146" s="4">
        <f>+H146-N146</f>
        <v/>
      </c>
      <c r="U146" s="4">
        <f>+I146-O146</f>
        <v/>
      </c>
      <c r="V146" t="n">
        <v>0</v>
      </c>
      <c r="W146">
        <f>VLOOKUP(A146,'GST Wise Reco'!$A$4:$T$30,20,0)</f>
        <v/>
      </c>
      <c r="X146" t="inlineStr">
        <is>
          <t>Book And 2B Match</t>
        </is>
      </c>
      <c r="Y146" s="5" t="inlineStr">
        <is>
          <t>Book And 2B Match</t>
        </is>
      </c>
    </row>
    <row r="147">
      <c r="A147" t="inlineStr">
        <is>
          <t>AAQCM8669N</t>
        </is>
      </c>
      <c r="B147" t="inlineStr">
        <is>
          <t>AAQCM8669N_MCPL/25-26/63</t>
        </is>
      </c>
      <c r="D147" t="n">
        <v>0</v>
      </c>
      <c r="E147" s="4">
        <f>SUMIF(Book!$G:$G,$B147,Book!J:J)</f>
        <v/>
      </c>
      <c r="F147" s="4">
        <f>SUMIF(Book!$G:$G,$B147,Book!L:L)</f>
        <v/>
      </c>
      <c r="G147" s="4">
        <f>SUMIF(Book!$G:$G,$B147,Book!M:M)</f>
        <v/>
      </c>
      <c r="H147" s="4">
        <f>SUMIF(Book!$G:$G,$B147,Book!N:N)</f>
        <v/>
      </c>
      <c r="I147" s="4">
        <f>SUMIF(Book!$G:$G,$B147,Book!O:O)</f>
        <v/>
      </c>
      <c r="J147" t="n">
        <v>0</v>
      </c>
      <c r="K147" s="4">
        <f>SUMIF('GSTR-2B'!$G:$G,$B147,'GSTR-2B'!J:J)</f>
        <v/>
      </c>
      <c r="L147" s="4">
        <f>SUMIF('GSTR-2B'!$G:$G,$B147,'GSTR-2B'!L:L)</f>
        <v/>
      </c>
      <c r="M147" s="4">
        <f>SUMIF('GSTR-2B'!$G:$G,$B147,'GSTR-2B'!M:M)</f>
        <v/>
      </c>
      <c r="N147" s="4">
        <f>SUMIF('GSTR-2B'!$G:$G,$B147,'GSTR-2B'!N:N)</f>
        <v/>
      </c>
      <c r="O147" s="4">
        <f>SUMIF('GSTR-2B'!$G:$G,$B147,'GSTR-2B'!O:O)</f>
        <v/>
      </c>
      <c r="P147" t="n">
        <v>0</v>
      </c>
      <c r="Q147" s="4">
        <f>+E147-K147</f>
        <v/>
      </c>
      <c r="R147" s="4">
        <f>+F147-L147</f>
        <v/>
      </c>
      <c r="S147" s="4">
        <f>+G147-M147</f>
        <v/>
      </c>
      <c r="T147" s="4">
        <f>+H147-N147</f>
        <v/>
      </c>
      <c r="U147" s="4">
        <f>+I147-O147</f>
        <v/>
      </c>
      <c r="V147" t="n">
        <v>0</v>
      </c>
      <c r="W147">
        <f>VLOOKUP(A147,'GST Wise Reco'!$A$4:$T$30,20,0)</f>
        <v/>
      </c>
      <c r="X147" t="inlineStr">
        <is>
          <t>Book And 2B Match</t>
        </is>
      </c>
      <c r="Y147" s="5" t="inlineStr">
        <is>
          <t>Book And 2B Match</t>
        </is>
      </c>
    </row>
    <row r="148">
      <c r="A148" t="inlineStr">
        <is>
          <t>AAQCM8669N</t>
        </is>
      </c>
      <c r="B148" t="inlineStr">
        <is>
          <t>AAQCM8669N_MCPL/25-26/69</t>
        </is>
      </c>
      <c r="D148" t="n">
        <v>0</v>
      </c>
      <c r="E148" s="4">
        <f>SUMIF(Book!$G:$G,$B148,Book!J:J)</f>
        <v/>
      </c>
      <c r="F148" s="4">
        <f>SUMIF(Book!$G:$G,$B148,Book!L:L)</f>
        <v/>
      </c>
      <c r="G148" s="4">
        <f>SUMIF(Book!$G:$G,$B148,Book!M:M)</f>
        <v/>
      </c>
      <c r="H148" s="4">
        <f>SUMIF(Book!$G:$G,$B148,Book!N:N)</f>
        <v/>
      </c>
      <c r="I148" s="4">
        <f>SUMIF(Book!$G:$G,$B148,Book!O:O)</f>
        <v/>
      </c>
      <c r="J148" t="n">
        <v>0</v>
      </c>
      <c r="K148" s="4">
        <f>SUMIF('GSTR-2B'!$G:$G,$B148,'GSTR-2B'!J:J)</f>
        <v/>
      </c>
      <c r="L148" s="4">
        <f>SUMIF('GSTR-2B'!$G:$G,$B148,'GSTR-2B'!L:L)</f>
        <v/>
      </c>
      <c r="M148" s="4">
        <f>SUMIF('GSTR-2B'!$G:$G,$B148,'GSTR-2B'!M:M)</f>
        <v/>
      </c>
      <c r="N148" s="4">
        <f>SUMIF('GSTR-2B'!$G:$G,$B148,'GSTR-2B'!N:N)</f>
        <v/>
      </c>
      <c r="O148" s="4">
        <f>SUMIF('GSTR-2B'!$G:$G,$B148,'GSTR-2B'!O:O)</f>
        <v/>
      </c>
      <c r="P148" t="n">
        <v>0</v>
      </c>
      <c r="Q148" s="4">
        <f>+E148-K148</f>
        <v/>
      </c>
      <c r="R148" s="4">
        <f>+F148-L148</f>
        <v/>
      </c>
      <c r="S148" s="4">
        <f>+G148-M148</f>
        <v/>
      </c>
      <c r="T148" s="4">
        <f>+H148-N148</f>
        <v/>
      </c>
      <c r="U148" s="4">
        <f>+I148-O148</f>
        <v/>
      </c>
      <c r="V148" t="n">
        <v>0</v>
      </c>
      <c r="W148">
        <f>VLOOKUP(A148,'GST Wise Reco'!$A$4:$T$30,20,0)</f>
        <v/>
      </c>
      <c r="X148" t="inlineStr">
        <is>
          <t>Book And 2B Match</t>
        </is>
      </c>
      <c r="Y148" s="5" t="inlineStr">
        <is>
          <t>Book And 2B Match</t>
        </is>
      </c>
    </row>
    <row r="149">
      <c r="A149" t="inlineStr">
        <is>
          <t>AAQCM8669N</t>
        </is>
      </c>
      <c r="B149" t="inlineStr">
        <is>
          <t>AAQCM8669N_MCPL/25-26/73</t>
        </is>
      </c>
      <c r="D149" t="n">
        <v>0</v>
      </c>
      <c r="E149" s="4">
        <f>SUMIF(Book!$G:$G,$B149,Book!J:J)</f>
        <v/>
      </c>
      <c r="F149" s="4">
        <f>SUMIF(Book!$G:$G,$B149,Book!L:L)</f>
        <v/>
      </c>
      <c r="G149" s="4">
        <f>SUMIF(Book!$G:$G,$B149,Book!M:M)</f>
        <v/>
      </c>
      <c r="H149" s="4">
        <f>SUMIF(Book!$G:$G,$B149,Book!N:N)</f>
        <v/>
      </c>
      <c r="I149" s="4">
        <f>SUMIF(Book!$G:$G,$B149,Book!O:O)</f>
        <v/>
      </c>
      <c r="J149" t="n">
        <v>0</v>
      </c>
      <c r="K149" s="4">
        <f>SUMIF('GSTR-2B'!$G:$G,$B149,'GSTR-2B'!J:J)</f>
        <v/>
      </c>
      <c r="L149" s="4">
        <f>SUMIF('GSTR-2B'!$G:$G,$B149,'GSTR-2B'!L:L)</f>
        <v/>
      </c>
      <c r="M149" s="4">
        <f>SUMIF('GSTR-2B'!$G:$G,$B149,'GSTR-2B'!M:M)</f>
        <v/>
      </c>
      <c r="N149" s="4">
        <f>SUMIF('GSTR-2B'!$G:$G,$B149,'GSTR-2B'!N:N)</f>
        <v/>
      </c>
      <c r="O149" s="4">
        <f>SUMIF('GSTR-2B'!$G:$G,$B149,'GSTR-2B'!O:O)</f>
        <v/>
      </c>
      <c r="P149" t="n">
        <v>0</v>
      </c>
      <c r="Q149" s="4">
        <f>+E149-K149</f>
        <v/>
      </c>
      <c r="R149" s="4">
        <f>+F149-L149</f>
        <v/>
      </c>
      <c r="S149" s="4">
        <f>+G149-M149</f>
        <v/>
      </c>
      <c r="T149" s="4">
        <f>+H149-N149</f>
        <v/>
      </c>
      <c r="U149" s="4">
        <f>+I149-O149</f>
        <v/>
      </c>
      <c r="V149" t="n">
        <v>0</v>
      </c>
      <c r="W149">
        <f>VLOOKUP(A149,'GST Wise Reco'!$A$4:$T$30,20,0)</f>
        <v/>
      </c>
      <c r="X149" t="inlineStr">
        <is>
          <t>Book And 2B Match</t>
        </is>
      </c>
      <c r="Y149" s="5" t="inlineStr">
        <is>
          <t>Book And 2B Match</t>
        </is>
      </c>
    </row>
    <row r="150">
      <c r="A150" t="inlineStr">
        <is>
          <t>AAQCM8669N</t>
        </is>
      </c>
      <c r="B150" t="inlineStr">
        <is>
          <t>AAQCM8669N_MCPL/CN/25-26/1</t>
        </is>
      </c>
      <c r="D150" t="n">
        <v>0</v>
      </c>
      <c r="E150" s="4">
        <f>SUMIF(Book!$G:$G,$B150,Book!J:J)</f>
        <v/>
      </c>
      <c r="F150" s="4">
        <f>SUMIF(Book!$G:$G,$B150,Book!L:L)</f>
        <v/>
      </c>
      <c r="G150" s="4">
        <f>SUMIF(Book!$G:$G,$B150,Book!M:M)</f>
        <v/>
      </c>
      <c r="H150" s="4">
        <f>SUMIF(Book!$G:$G,$B150,Book!N:N)</f>
        <v/>
      </c>
      <c r="I150" s="4">
        <f>SUMIF(Book!$G:$G,$B150,Book!O:O)</f>
        <v/>
      </c>
      <c r="J150" t="n">
        <v>0</v>
      </c>
      <c r="K150" s="4">
        <f>SUMIF('GSTR-2B'!$G:$G,$B150,'GSTR-2B'!J:J)</f>
        <v/>
      </c>
      <c r="L150" s="4">
        <f>SUMIF('GSTR-2B'!$G:$G,$B150,'GSTR-2B'!L:L)</f>
        <v/>
      </c>
      <c r="M150" s="4">
        <f>SUMIF('GSTR-2B'!$G:$G,$B150,'GSTR-2B'!M:M)</f>
        <v/>
      </c>
      <c r="N150" s="4">
        <f>SUMIF('GSTR-2B'!$G:$G,$B150,'GSTR-2B'!N:N)</f>
        <v/>
      </c>
      <c r="O150" s="4">
        <f>SUMIF('GSTR-2B'!$G:$G,$B150,'GSTR-2B'!O:O)</f>
        <v/>
      </c>
      <c r="P150" t="n">
        <v>0</v>
      </c>
      <c r="Q150" s="4">
        <f>+E150-K150</f>
        <v/>
      </c>
      <c r="R150" s="4">
        <f>+F150-L150</f>
        <v/>
      </c>
      <c r="S150" s="4">
        <f>+G150-M150</f>
        <v/>
      </c>
      <c r="T150" s="4">
        <f>+H150-N150</f>
        <v/>
      </c>
      <c r="U150" s="4">
        <f>+I150-O150</f>
        <v/>
      </c>
      <c r="V150" t="n">
        <v>0</v>
      </c>
      <c r="W150">
        <f>VLOOKUP(A150,'GST Wise Reco'!$A$4:$T$30,20,0)</f>
        <v/>
      </c>
      <c r="X150" t="inlineStr">
        <is>
          <t>Vendor are show in 2B - Tax Invoices and CN</t>
        </is>
      </c>
      <c r="Y150" s="6" t="inlineStr">
        <is>
          <t>Vendor are show in 2B - Tax Invoices and CN</t>
        </is>
      </c>
    </row>
    <row r="151">
      <c r="A151" t="inlineStr">
        <is>
          <t>AASCA5981H</t>
        </is>
      </c>
      <c r="B151" t="inlineStr">
        <is>
          <t>AASCA5981H_AV1001/25-26/01</t>
        </is>
      </c>
      <c r="D151" t="n">
        <v>0</v>
      </c>
      <c r="E151" s="4">
        <f>SUMIF(Book!$G:$G,$B151,Book!J:J)</f>
        <v/>
      </c>
      <c r="F151" s="4">
        <f>SUMIF(Book!$G:$G,$B151,Book!L:L)</f>
        <v/>
      </c>
      <c r="G151" s="4">
        <f>SUMIF(Book!$G:$G,$B151,Book!M:M)</f>
        <v/>
      </c>
      <c r="H151" s="4">
        <f>SUMIF(Book!$G:$G,$B151,Book!N:N)</f>
        <v/>
      </c>
      <c r="I151" s="4">
        <f>SUMIF(Book!$G:$G,$B151,Book!O:O)</f>
        <v/>
      </c>
      <c r="J151" t="n">
        <v>0</v>
      </c>
      <c r="K151" s="4">
        <f>SUMIF('GSTR-2B'!$G:$G,$B151,'GSTR-2B'!J:J)</f>
        <v/>
      </c>
      <c r="L151" s="4">
        <f>SUMIF('GSTR-2B'!$G:$G,$B151,'GSTR-2B'!L:L)</f>
        <v/>
      </c>
      <c r="M151" s="4">
        <f>SUMIF('GSTR-2B'!$G:$G,$B151,'GSTR-2B'!M:M)</f>
        <v/>
      </c>
      <c r="N151" s="4">
        <f>SUMIF('GSTR-2B'!$G:$G,$B151,'GSTR-2B'!N:N)</f>
        <v/>
      </c>
      <c r="O151" s="4">
        <f>SUMIF('GSTR-2B'!$G:$G,$B151,'GSTR-2B'!O:O)</f>
        <v/>
      </c>
      <c r="P151" t="n">
        <v>0</v>
      </c>
      <c r="Q151" s="4">
        <f>+E151-K151</f>
        <v/>
      </c>
      <c r="R151" s="4">
        <f>+F151-L151</f>
        <v/>
      </c>
      <c r="S151" s="4">
        <f>+G151-M151</f>
        <v/>
      </c>
      <c r="T151" s="4">
        <f>+H151-N151</f>
        <v/>
      </c>
      <c r="U151" s="4">
        <f>+I151-O151</f>
        <v/>
      </c>
      <c r="V151" t="n">
        <v>0</v>
      </c>
      <c r="W151">
        <f>VLOOKUP(A151,'GST Wise Reco'!$A$4:$T$30,20,0)</f>
        <v/>
      </c>
      <c r="X151" t="inlineStr">
        <is>
          <t>Book And 2B Match</t>
        </is>
      </c>
      <c r="Y151" s="5" t="inlineStr">
        <is>
          <t>Book And 2B Match</t>
        </is>
      </c>
    </row>
    <row r="152">
      <c r="A152" t="inlineStr">
        <is>
          <t>AAWFM3818Q</t>
        </is>
      </c>
      <c r="B152" t="inlineStr">
        <is>
          <t>AAWFM3818Q_MCO-D252650</t>
        </is>
      </c>
      <c r="D152" t="n">
        <v>0</v>
      </c>
      <c r="E152" s="4">
        <f>SUMIF(Book!$G:$G,$B152,Book!J:J)</f>
        <v/>
      </c>
      <c r="F152" s="4">
        <f>SUMIF(Book!$G:$G,$B152,Book!L:L)</f>
        <v/>
      </c>
      <c r="G152" s="4">
        <f>SUMIF(Book!$G:$G,$B152,Book!M:M)</f>
        <v/>
      </c>
      <c r="H152" s="4">
        <f>SUMIF(Book!$G:$G,$B152,Book!N:N)</f>
        <v/>
      </c>
      <c r="I152" s="4">
        <f>SUMIF(Book!$G:$G,$B152,Book!O:O)</f>
        <v/>
      </c>
      <c r="J152" t="n">
        <v>0</v>
      </c>
      <c r="K152" s="4">
        <f>SUMIF('GSTR-2B'!$G:$G,$B152,'GSTR-2B'!J:J)</f>
        <v/>
      </c>
      <c r="L152" s="4">
        <f>SUMIF('GSTR-2B'!$G:$G,$B152,'GSTR-2B'!L:L)</f>
        <v/>
      </c>
      <c r="M152" s="4">
        <f>SUMIF('GSTR-2B'!$G:$G,$B152,'GSTR-2B'!M:M)</f>
        <v/>
      </c>
      <c r="N152" s="4">
        <f>SUMIF('GSTR-2B'!$G:$G,$B152,'GSTR-2B'!N:N)</f>
        <v/>
      </c>
      <c r="O152" s="4">
        <f>SUMIF('GSTR-2B'!$G:$G,$B152,'GSTR-2B'!O:O)</f>
        <v/>
      </c>
      <c r="P152" t="n">
        <v>0</v>
      </c>
      <c r="Q152" s="4">
        <f>+E152-K152</f>
        <v/>
      </c>
      <c r="R152" s="4">
        <f>+F152-L152</f>
        <v/>
      </c>
      <c r="S152" s="4">
        <f>+G152-M152</f>
        <v/>
      </c>
      <c r="T152" s="4">
        <f>+H152-N152</f>
        <v/>
      </c>
      <c r="U152" s="4">
        <f>+I152-O152</f>
        <v/>
      </c>
      <c r="V152" t="n">
        <v>0</v>
      </c>
      <c r="W152">
        <f>VLOOKUP(A152,'GST Wise Reco'!$A$4:$T$30,20,0)</f>
        <v/>
      </c>
      <c r="X152" t="inlineStr">
        <is>
          <t xml:space="preserve">Only for the 2B </t>
        </is>
      </c>
      <c r="Y152" s="6" t="inlineStr">
        <is>
          <t xml:space="preserve">Only for the 2B </t>
        </is>
      </c>
    </row>
    <row r="153">
      <c r="A153" t="inlineStr">
        <is>
          <t>AAWFM3818Q</t>
        </is>
      </c>
      <c r="B153" t="inlineStr">
        <is>
          <t>AAWFM3818Q_MCO-D252651</t>
        </is>
      </c>
      <c r="D153" t="n">
        <v>0</v>
      </c>
      <c r="E153" s="4">
        <f>SUMIF(Book!$G:$G,$B153,Book!J:J)</f>
        <v/>
      </c>
      <c r="F153" s="4">
        <f>SUMIF(Book!$G:$G,$B153,Book!L:L)</f>
        <v/>
      </c>
      <c r="G153" s="4">
        <f>SUMIF(Book!$G:$G,$B153,Book!M:M)</f>
        <v/>
      </c>
      <c r="H153" s="4">
        <f>SUMIF(Book!$G:$G,$B153,Book!N:N)</f>
        <v/>
      </c>
      <c r="I153" s="4">
        <f>SUMIF(Book!$G:$G,$B153,Book!O:O)</f>
        <v/>
      </c>
      <c r="J153" t="n">
        <v>0</v>
      </c>
      <c r="K153" s="4">
        <f>SUMIF('GSTR-2B'!$G:$G,$B153,'GSTR-2B'!J:J)</f>
        <v/>
      </c>
      <c r="L153" s="4">
        <f>SUMIF('GSTR-2B'!$G:$G,$B153,'GSTR-2B'!L:L)</f>
        <v/>
      </c>
      <c r="M153" s="4">
        <f>SUMIF('GSTR-2B'!$G:$G,$B153,'GSTR-2B'!M:M)</f>
        <v/>
      </c>
      <c r="N153" s="4">
        <f>SUMIF('GSTR-2B'!$G:$G,$B153,'GSTR-2B'!N:N)</f>
        <v/>
      </c>
      <c r="O153" s="4">
        <f>SUMIF('GSTR-2B'!$G:$G,$B153,'GSTR-2B'!O:O)</f>
        <v/>
      </c>
      <c r="P153" t="n">
        <v>0</v>
      </c>
      <c r="Q153" s="4">
        <f>+E153-K153</f>
        <v/>
      </c>
      <c r="R153" s="4">
        <f>+F153-L153</f>
        <v/>
      </c>
      <c r="S153" s="4">
        <f>+G153-M153</f>
        <v/>
      </c>
      <c r="T153" s="4">
        <f>+H153-N153</f>
        <v/>
      </c>
      <c r="U153" s="4">
        <f>+I153-O153</f>
        <v/>
      </c>
      <c r="V153" t="n">
        <v>0</v>
      </c>
      <c r="W153">
        <f>VLOOKUP(A153,'GST Wise Reco'!$A$4:$T$30,20,0)</f>
        <v/>
      </c>
      <c r="X153" t="inlineStr">
        <is>
          <t xml:space="preserve">Only for the 2B </t>
        </is>
      </c>
      <c r="Y153" s="6" t="inlineStr">
        <is>
          <t xml:space="preserve">Only for the 2B </t>
        </is>
      </c>
    </row>
    <row r="154">
      <c r="A154" t="inlineStr">
        <is>
          <t>AAWFM3818Q</t>
        </is>
      </c>
      <c r="B154" t="inlineStr">
        <is>
          <t>AAWFM3818Q_MCO24251562</t>
        </is>
      </c>
      <c r="D154" t="n">
        <v>0</v>
      </c>
      <c r="E154" s="4">
        <f>SUMIF(Book!$G:$G,$B154,Book!J:J)</f>
        <v/>
      </c>
      <c r="F154" s="4">
        <f>SUMIF(Book!$G:$G,$B154,Book!L:L)</f>
        <v/>
      </c>
      <c r="G154" s="4">
        <f>SUMIF(Book!$G:$G,$B154,Book!M:M)</f>
        <v/>
      </c>
      <c r="H154" s="4">
        <f>SUMIF(Book!$G:$G,$B154,Book!N:N)</f>
        <v/>
      </c>
      <c r="I154" s="4">
        <f>SUMIF(Book!$G:$G,$B154,Book!O:O)</f>
        <v/>
      </c>
      <c r="J154" t="n">
        <v>0</v>
      </c>
      <c r="K154" s="4">
        <f>SUMIF('GSTR-2B'!$G:$G,$B154,'GSTR-2B'!J:J)</f>
        <v/>
      </c>
      <c r="L154" s="4">
        <f>SUMIF('GSTR-2B'!$G:$G,$B154,'GSTR-2B'!L:L)</f>
        <v/>
      </c>
      <c r="M154" s="4">
        <f>SUMIF('GSTR-2B'!$G:$G,$B154,'GSTR-2B'!M:M)</f>
        <v/>
      </c>
      <c r="N154" s="4">
        <f>SUMIF('GSTR-2B'!$G:$G,$B154,'GSTR-2B'!N:N)</f>
        <v/>
      </c>
      <c r="O154" s="4">
        <f>SUMIF('GSTR-2B'!$G:$G,$B154,'GSTR-2B'!O:O)</f>
        <v/>
      </c>
      <c r="P154" t="n">
        <v>0</v>
      </c>
      <c r="Q154" s="4">
        <f>+E154-K154</f>
        <v/>
      </c>
      <c r="R154" s="4">
        <f>+F154-L154</f>
        <v/>
      </c>
      <c r="S154" s="4">
        <f>+G154-M154</f>
        <v/>
      </c>
      <c r="T154" s="4">
        <f>+H154-N154</f>
        <v/>
      </c>
      <c r="U154" s="4">
        <f>+I154-O154</f>
        <v/>
      </c>
      <c r="V154" t="n">
        <v>0</v>
      </c>
      <c r="W154">
        <f>VLOOKUP(A154,'GST Wise Reco'!$A$4:$T$30,20,0)</f>
        <v/>
      </c>
      <c r="X154" t="inlineStr">
        <is>
          <t>Book And 2B Match-Invocies No Mis-Match</t>
        </is>
      </c>
      <c r="Y154" s="6" t="inlineStr">
        <is>
          <t>Book And 2B Match-Invocies No Mis-Match</t>
        </is>
      </c>
    </row>
    <row r="155">
      <c r="A155" t="inlineStr">
        <is>
          <t>AAWFM3818Q</t>
        </is>
      </c>
      <c r="B155" t="inlineStr">
        <is>
          <t>AAWFM3818Q_MCO25-26794</t>
        </is>
      </c>
      <c r="D155" t="n">
        <v>0</v>
      </c>
      <c r="E155" s="4">
        <f>SUMIF(Book!$G:$G,$B155,Book!J:J)</f>
        <v/>
      </c>
      <c r="F155" s="4">
        <f>SUMIF(Book!$G:$G,$B155,Book!L:L)</f>
        <v/>
      </c>
      <c r="G155" s="4">
        <f>SUMIF(Book!$G:$G,$B155,Book!M:M)</f>
        <v/>
      </c>
      <c r="H155" s="4">
        <f>SUMIF(Book!$G:$G,$B155,Book!N:N)</f>
        <v/>
      </c>
      <c r="I155" s="4">
        <f>SUMIF(Book!$G:$G,$B155,Book!O:O)</f>
        <v/>
      </c>
      <c r="J155" t="n">
        <v>0</v>
      </c>
      <c r="K155" s="4">
        <f>SUMIF('GSTR-2B'!$G:$G,$B155,'GSTR-2B'!J:J)</f>
        <v/>
      </c>
      <c r="L155" s="4">
        <f>SUMIF('GSTR-2B'!$G:$G,$B155,'GSTR-2B'!L:L)</f>
        <v/>
      </c>
      <c r="M155" s="4">
        <f>SUMIF('GSTR-2B'!$G:$G,$B155,'GSTR-2B'!M:M)</f>
        <v/>
      </c>
      <c r="N155" s="4">
        <f>SUMIF('GSTR-2B'!$G:$G,$B155,'GSTR-2B'!N:N)</f>
        <v/>
      </c>
      <c r="O155" s="4">
        <f>SUMIF('GSTR-2B'!$G:$G,$B155,'GSTR-2B'!O:O)</f>
        <v/>
      </c>
      <c r="P155" t="n">
        <v>0</v>
      </c>
      <c r="Q155" s="4">
        <f>+E155-K155</f>
        <v/>
      </c>
      <c r="R155" s="4">
        <f>+F155-L155</f>
        <v/>
      </c>
      <c r="S155" s="4">
        <f>+G155-M155</f>
        <v/>
      </c>
      <c r="T155" s="4">
        <f>+H155-N155</f>
        <v/>
      </c>
      <c r="U155" s="4">
        <f>+I155-O155</f>
        <v/>
      </c>
      <c r="V155" t="n">
        <v>0</v>
      </c>
      <c r="W155">
        <f>VLOOKUP(A155,'GST Wise Reco'!$A$4:$T$30,20,0)</f>
        <v/>
      </c>
      <c r="X155" t="inlineStr">
        <is>
          <t>Book And 2B Match</t>
        </is>
      </c>
      <c r="Y155" s="5" t="inlineStr">
        <is>
          <t>Book And 2B Match</t>
        </is>
      </c>
    </row>
    <row r="156">
      <c r="A156" t="inlineStr">
        <is>
          <t>AAWFM3818Q</t>
        </is>
      </c>
      <c r="B156" t="inlineStr">
        <is>
          <t>AAWFM3818Q_MCO25261017</t>
        </is>
      </c>
      <c r="D156" t="n">
        <v>0</v>
      </c>
      <c r="E156" s="4">
        <f>SUMIF(Book!$G:$G,$B156,Book!J:J)</f>
        <v/>
      </c>
      <c r="F156" s="4">
        <f>SUMIF(Book!$G:$G,$B156,Book!L:L)</f>
        <v/>
      </c>
      <c r="G156" s="4">
        <f>SUMIF(Book!$G:$G,$B156,Book!M:M)</f>
        <v/>
      </c>
      <c r="H156" s="4">
        <f>SUMIF(Book!$G:$G,$B156,Book!N:N)</f>
        <v/>
      </c>
      <c r="I156" s="4">
        <f>SUMIF(Book!$G:$G,$B156,Book!O:O)</f>
        <v/>
      </c>
      <c r="J156" t="n">
        <v>0</v>
      </c>
      <c r="K156" s="4">
        <f>SUMIF('GSTR-2B'!$G:$G,$B156,'GSTR-2B'!J:J)</f>
        <v/>
      </c>
      <c r="L156" s="4">
        <f>SUMIF('GSTR-2B'!$G:$G,$B156,'GSTR-2B'!L:L)</f>
        <v/>
      </c>
      <c r="M156" s="4">
        <f>SUMIF('GSTR-2B'!$G:$G,$B156,'GSTR-2B'!M:M)</f>
        <v/>
      </c>
      <c r="N156" s="4">
        <f>SUMIF('GSTR-2B'!$G:$G,$B156,'GSTR-2B'!N:N)</f>
        <v/>
      </c>
      <c r="O156" s="4">
        <f>SUMIF('GSTR-2B'!$G:$G,$B156,'GSTR-2B'!O:O)</f>
        <v/>
      </c>
      <c r="P156" t="n">
        <v>0</v>
      </c>
      <c r="Q156" s="4">
        <f>+E156-K156</f>
        <v/>
      </c>
      <c r="R156" s="4">
        <f>+F156-L156</f>
        <v/>
      </c>
      <c r="S156" s="4">
        <f>+G156-M156</f>
        <v/>
      </c>
      <c r="T156" s="4">
        <f>+H156-N156</f>
        <v/>
      </c>
      <c r="U156" s="4">
        <f>+I156-O156</f>
        <v/>
      </c>
      <c r="V156" t="n">
        <v>0</v>
      </c>
      <c r="W156">
        <f>VLOOKUP(A156,'GST Wise Reco'!$A$4:$T$30,20,0)</f>
        <v/>
      </c>
      <c r="X156" t="inlineStr">
        <is>
          <t>Book And 2B Match</t>
        </is>
      </c>
      <c r="Y156" s="5" t="inlineStr">
        <is>
          <t>Book And 2B Match</t>
        </is>
      </c>
    </row>
    <row r="157">
      <c r="A157" t="inlineStr">
        <is>
          <t>AAWFM3818Q</t>
        </is>
      </c>
      <c r="B157" t="inlineStr">
        <is>
          <t>AAWFM3818Q_MCO25261055</t>
        </is>
      </c>
      <c r="D157" t="n">
        <v>0</v>
      </c>
      <c r="E157" s="4">
        <f>SUMIF(Book!$G:$G,$B157,Book!J:J)</f>
        <v/>
      </c>
      <c r="F157" s="4">
        <f>SUMIF(Book!$G:$G,$B157,Book!L:L)</f>
        <v/>
      </c>
      <c r="G157" s="4">
        <f>SUMIF(Book!$G:$G,$B157,Book!M:M)</f>
        <v/>
      </c>
      <c r="H157" s="4">
        <f>SUMIF(Book!$G:$G,$B157,Book!N:N)</f>
        <v/>
      </c>
      <c r="I157" s="4">
        <f>SUMIF(Book!$G:$G,$B157,Book!O:O)</f>
        <v/>
      </c>
      <c r="J157" t="n">
        <v>0</v>
      </c>
      <c r="K157" s="4">
        <f>SUMIF('GSTR-2B'!$G:$G,$B157,'GSTR-2B'!J:J)</f>
        <v/>
      </c>
      <c r="L157" s="4">
        <f>SUMIF('GSTR-2B'!$G:$G,$B157,'GSTR-2B'!L:L)</f>
        <v/>
      </c>
      <c r="M157" s="4">
        <f>SUMIF('GSTR-2B'!$G:$G,$B157,'GSTR-2B'!M:M)</f>
        <v/>
      </c>
      <c r="N157" s="4">
        <f>SUMIF('GSTR-2B'!$G:$G,$B157,'GSTR-2B'!N:N)</f>
        <v/>
      </c>
      <c r="O157" s="4">
        <f>SUMIF('GSTR-2B'!$G:$G,$B157,'GSTR-2B'!O:O)</f>
        <v/>
      </c>
      <c r="P157" t="n">
        <v>0</v>
      </c>
      <c r="Q157" s="4">
        <f>+E157-K157</f>
        <v/>
      </c>
      <c r="R157" s="4">
        <f>+F157-L157</f>
        <v/>
      </c>
      <c r="S157" s="4">
        <f>+G157-M157</f>
        <v/>
      </c>
      <c r="T157" s="4">
        <f>+H157-N157</f>
        <v/>
      </c>
      <c r="U157" s="4">
        <f>+I157-O157</f>
        <v/>
      </c>
      <c r="V157" t="n">
        <v>0</v>
      </c>
      <c r="W157">
        <f>VLOOKUP(A157,'GST Wise Reco'!$A$4:$T$30,20,0)</f>
        <v/>
      </c>
      <c r="X157" t="inlineStr">
        <is>
          <t>Book And 2B Match</t>
        </is>
      </c>
      <c r="Y157" s="5" t="inlineStr">
        <is>
          <t>Book And 2B Match</t>
        </is>
      </c>
    </row>
    <row r="158">
      <c r="A158" t="inlineStr">
        <is>
          <t>AAWFM3818Q</t>
        </is>
      </c>
      <c r="B158" t="inlineStr">
        <is>
          <t>AAWFM3818Q_MCO25261086</t>
        </is>
      </c>
      <c r="D158" t="n">
        <v>0</v>
      </c>
      <c r="E158" s="4">
        <f>SUMIF(Book!$G:$G,$B158,Book!J:J)</f>
        <v/>
      </c>
      <c r="F158" s="4">
        <f>SUMIF(Book!$G:$G,$B158,Book!L:L)</f>
        <v/>
      </c>
      <c r="G158" s="4">
        <f>SUMIF(Book!$G:$G,$B158,Book!M:M)</f>
        <v/>
      </c>
      <c r="H158" s="4">
        <f>SUMIF(Book!$G:$G,$B158,Book!N:N)</f>
        <v/>
      </c>
      <c r="I158" s="4">
        <f>SUMIF(Book!$G:$G,$B158,Book!O:O)</f>
        <v/>
      </c>
      <c r="J158" t="n">
        <v>0</v>
      </c>
      <c r="K158" s="4">
        <f>SUMIF('GSTR-2B'!$G:$G,$B158,'GSTR-2B'!J:J)</f>
        <v/>
      </c>
      <c r="L158" s="4">
        <f>SUMIF('GSTR-2B'!$G:$G,$B158,'GSTR-2B'!L:L)</f>
        <v/>
      </c>
      <c r="M158" s="4">
        <f>SUMIF('GSTR-2B'!$G:$G,$B158,'GSTR-2B'!M:M)</f>
        <v/>
      </c>
      <c r="N158" s="4">
        <f>SUMIF('GSTR-2B'!$G:$G,$B158,'GSTR-2B'!N:N)</f>
        <v/>
      </c>
      <c r="O158" s="4">
        <f>SUMIF('GSTR-2B'!$G:$G,$B158,'GSTR-2B'!O:O)</f>
        <v/>
      </c>
      <c r="P158" t="n">
        <v>0</v>
      </c>
      <c r="Q158" s="4">
        <f>+E158-K158</f>
        <v/>
      </c>
      <c r="R158" s="4">
        <f>+F158-L158</f>
        <v/>
      </c>
      <c r="S158" s="4">
        <f>+G158-M158</f>
        <v/>
      </c>
      <c r="T158" s="4">
        <f>+H158-N158</f>
        <v/>
      </c>
      <c r="U158" s="4">
        <f>+I158-O158</f>
        <v/>
      </c>
      <c r="V158" t="n">
        <v>0</v>
      </c>
      <c r="W158">
        <f>VLOOKUP(A158,'GST Wise Reco'!$A$4:$T$30,20,0)</f>
        <v/>
      </c>
      <c r="X158" t="inlineStr">
        <is>
          <t>Book And 2B Match</t>
        </is>
      </c>
      <c r="Y158" s="5" t="inlineStr">
        <is>
          <t>Book And 2B Match</t>
        </is>
      </c>
    </row>
    <row r="159">
      <c r="A159" t="inlineStr">
        <is>
          <t>AAWFM3818Q</t>
        </is>
      </c>
      <c r="B159" t="inlineStr">
        <is>
          <t>AAWFM3818Q_MCO25261116</t>
        </is>
      </c>
      <c r="D159" t="n">
        <v>0</v>
      </c>
      <c r="E159" s="4">
        <f>SUMIF(Book!$G:$G,$B159,Book!J:J)</f>
        <v/>
      </c>
      <c r="F159" s="4">
        <f>SUMIF(Book!$G:$G,$B159,Book!L:L)</f>
        <v/>
      </c>
      <c r="G159" s="4">
        <f>SUMIF(Book!$G:$G,$B159,Book!M:M)</f>
        <v/>
      </c>
      <c r="H159" s="4">
        <f>SUMIF(Book!$G:$G,$B159,Book!N:N)</f>
        <v/>
      </c>
      <c r="I159" s="4">
        <f>SUMIF(Book!$G:$G,$B159,Book!O:O)</f>
        <v/>
      </c>
      <c r="J159" t="n">
        <v>0</v>
      </c>
      <c r="K159" s="4">
        <f>SUMIF('GSTR-2B'!$G:$G,$B159,'GSTR-2B'!J:J)</f>
        <v/>
      </c>
      <c r="L159" s="4">
        <f>SUMIF('GSTR-2B'!$G:$G,$B159,'GSTR-2B'!L:L)</f>
        <v/>
      </c>
      <c r="M159" s="4">
        <f>SUMIF('GSTR-2B'!$G:$G,$B159,'GSTR-2B'!M:M)</f>
        <v/>
      </c>
      <c r="N159" s="4">
        <f>SUMIF('GSTR-2B'!$G:$G,$B159,'GSTR-2B'!N:N)</f>
        <v/>
      </c>
      <c r="O159" s="4">
        <f>SUMIF('GSTR-2B'!$G:$G,$B159,'GSTR-2B'!O:O)</f>
        <v/>
      </c>
      <c r="P159" t="n">
        <v>0</v>
      </c>
      <c r="Q159" s="4">
        <f>+E159-K159</f>
        <v/>
      </c>
      <c r="R159" s="4">
        <f>+F159-L159</f>
        <v/>
      </c>
      <c r="S159" s="4">
        <f>+G159-M159</f>
        <v/>
      </c>
      <c r="T159" s="4">
        <f>+H159-N159</f>
        <v/>
      </c>
      <c r="U159" s="4">
        <f>+I159-O159</f>
        <v/>
      </c>
      <c r="V159" t="n">
        <v>0</v>
      </c>
      <c r="W159">
        <f>VLOOKUP(A159,'GST Wise Reco'!$A$4:$T$30,20,0)</f>
        <v/>
      </c>
      <c r="X159" t="inlineStr">
        <is>
          <t>Book And 2B Match</t>
        </is>
      </c>
      <c r="Y159" s="5" t="inlineStr">
        <is>
          <t>Book And 2B Match</t>
        </is>
      </c>
    </row>
    <row r="160">
      <c r="A160" t="inlineStr">
        <is>
          <t>AAWFM3818Q</t>
        </is>
      </c>
      <c r="B160" t="inlineStr">
        <is>
          <t>AAWFM3818Q_MCO25261216</t>
        </is>
      </c>
      <c r="D160" t="n">
        <v>0</v>
      </c>
      <c r="E160" s="4">
        <f>SUMIF(Book!$G:$G,$B160,Book!J:J)</f>
        <v/>
      </c>
      <c r="F160" s="4">
        <f>SUMIF(Book!$G:$G,$B160,Book!L:L)</f>
        <v/>
      </c>
      <c r="G160" s="4">
        <f>SUMIF(Book!$G:$G,$B160,Book!M:M)</f>
        <v/>
      </c>
      <c r="H160" s="4">
        <f>SUMIF(Book!$G:$G,$B160,Book!N:N)</f>
        <v/>
      </c>
      <c r="I160" s="4">
        <f>SUMIF(Book!$G:$G,$B160,Book!O:O)</f>
        <v/>
      </c>
      <c r="J160" t="n">
        <v>0</v>
      </c>
      <c r="K160" s="4">
        <f>SUMIF('GSTR-2B'!$G:$G,$B160,'GSTR-2B'!J:J)</f>
        <v/>
      </c>
      <c r="L160" s="4">
        <f>SUMIF('GSTR-2B'!$G:$G,$B160,'GSTR-2B'!L:L)</f>
        <v/>
      </c>
      <c r="M160" s="4">
        <f>SUMIF('GSTR-2B'!$G:$G,$B160,'GSTR-2B'!M:M)</f>
        <v/>
      </c>
      <c r="N160" s="4">
        <f>SUMIF('GSTR-2B'!$G:$G,$B160,'GSTR-2B'!N:N)</f>
        <v/>
      </c>
      <c r="O160" s="4">
        <f>SUMIF('GSTR-2B'!$G:$G,$B160,'GSTR-2B'!O:O)</f>
        <v/>
      </c>
      <c r="P160" t="n">
        <v>0</v>
      </c>
      <c r="Q160" s="4">
        <f>+E160-K160</f>
        <v/>
      </c>
      <c r="R160" s="4">
        <f>+F160-L160</f>
        <v/>
      </c>
      <c r="S160" s="4">
        <f>+G160-M160</f>
        <v/>
      </c>
      <c r="T160" s="4">
        <f>+H160-N160</f>
        <v/>
      </c>
      <c r="U160" s="4">
        <f>+I160-O160</f>
        <v/>
      </c>
      <c r="V160" t="n">
        <v>0</v>
      </c>
      <c r="W160">
        <f>VLOOKUP(A160,'GST Wise Reco'!$A$4:$T$30,20,0)</f>
        <v/>
      </c>
      <c r="X160" t="inlineStr">
        <is>
          <t>Book And 2B Match</t>
        </is>
      </c>
      <c r="Y160" s="5" t="inlineStr">
        <is>
          <t>Book And 2B Match</t>
        </is>
      </c>
    </row>
    <row r="161">
      <c r="A161" t="inlineStr">
        <is>
          <t>AAWFM3818Q</t>
        </is>
      </c>
      <c r="B161" t="inlineStr">
        <is>
          <t>AAWFM3818Q_MCO2526838</t>
        </is>
      </c>
      <c r="D161" t="n">
        <v>0</v>
      </c>
      <c r="E161" s="4">
        <f>SUMIF(Book!$G:$G,$B161,Book!J:J)</f>
        <v/>
      </c>
      <c r="F161" s="4">
        <f>SUMIF(Book!$G:$G,$B161,Book!L:L)</f>
        <v/>
      </c>
      <c r="G161" s="4">
        <f>SUMIF(Book!$G:$G,$B161,Book!M:M)</f>
        <v/>
      </c>
      <c r="H161" s="4">
        <f>SUMIF(Book!$G:$G,$B161,Book!N:N)</f>
        <v/>
      </c>
      <c r="I161" s="4">
        <f>SUMIF(Book!$G:$G,$B161,Book!O:O)</f>
        <v/>
      </c>
      <c r="J161" t="n">
        <v>0</v>
      </c>
      <c r="K161" s="4">
        <f>SUMIF('GSTR-2B'!$G:$G,$B161,'GSTR-2B'!J:J)</f>
        <v/>
      </c>
      <c r="L161" s="4">
        <f>SUMIF('GSTR-2B'!$G:$G,$B161,'GSTR-2B'!L:L)</f>
        <v/>
      </c>
      <c r="M161" s="4">
        <f>SUMIF('GSTR-2B'!$G:$G,$B161,'GSTR-2B'!M:M)</f>
        <v/>
      </c>
      <c r="N161" s="4">
        <f>SUMIF('GSTR-2B'!$G:$G,$B161,'GSTR-2B'!N:N)</f>
        <v/>
      </c>
      <c r="O161" s="4">
        <f>SUMIF('GSTR-2B'!$G:$G,$B161,'GSTR-2B'!O:O)</f>
        <v/>
      </c>
      <c r="P161" t="n">
        <v>0</v>
      </c>
      <c r="Q161" s="4">
        <f>+E161-K161</f>
        <v/>
      </c>
      <c r="R161" s="4">
        <f>+F161-L161</f>
        <v/>
      </c>
      <c r="S161" s="4">
        <f>+G161-M161</f>
        <v/>
      </c>
      <c r="T161" s="4">
        <f>+H161-N161</f>
        <v/>
      </c>
      <c r="U161" s="4">
        <f>+I161-O161</f>
        <v/>
      </c>
      <c r="V161" t="n">
        <v>0</v>
      </c>
      <c r="W161">
        <f>VLOOKUP(A161,'GST Wise Reco'!$A$4:$T$30,20,0)</f>
        <v/>
      </c>
      <c r="X161" t="inlineStr">
        <is>
          <t>Book And 2B Match</t>
        </is>
      </c>
      <c r="Y161" s="5" t="inlineStr">
        <is>
          <t>Book And 2B Match</t>
        </is>
      </c>
    </row>
    <row r="162">
      <c r="A162" t="inlineStr">
        <is>
          <t>AAWFM3818Q</t>
        </is>
      </c>
      <c r="B162" t="inlineStr">
        <is>
          <t>AAWFM3818Q_MCO2526842</t>
        </is>
      </c>
      <c r="D162" t="n">
        <v>0</v>
      </c>
      <c r="E162" s="4">
        <f>SUMIF(Book!$G:$G,$B162,Book!J:J)</f>
        <v/>
      </c>
      <c r="F162" s="4">
        <f>SUMIF(Book!$G:$G,$B162,Book!L:L)</f>
        <v/>
      </c>
      <c r="G162" s="4">
        <f>SUMIF(Book!$G:$G,$B162,Book!M:M)</f>
        <v/>
      </c>
      <c r="H162" s="4">
        <f>SUMIF(Book!$G:$G,$B162,Book!N:N)</f>
        <v/>
      </c>
      <c r="I162" s="4">
        <f>SUMIF(Book!$G:$G,$B162,Book!O:O)</f>
        <v/>
      </c>
      <c r="J162" t="n">
        <v>0</v>
      </c>
      <c r="K162" s="4">
        <f>SUMIF('GSTR-2B'!$G:$G,$B162,'GSTR-2B'!J:J)</f>
        <v/>
      </c>
      <c r="L162" s="4">
        <f>SUMIF('GSTR-2B'!$G:$G,$B162,'GSTR-2B'!L:L)</f>
        <v/>
      </c>
      <c r="M162" s="4">
        <f>SUMIF('GSTR-2B'!$G:$G,$B162,'GSTR-2B'!M:M)</f>
        <v/>
      </c>
      <c r="N162" s="4">
        <f>SUMIF('GSTR-2B'!$G:$G,$B162,'GSTR-2B'!N:N)</f>
        <v/>
      </c>
      <c r="O162" s="4">
        <f>SUMIF('GSTR-2B'!$G:$G,$B162,'GSTR-2B'!O:O)</f>
        <v/>
      </c>
      <c r="P162" t="n">
        <v>0</v>
      </c>
      <c r="Q162" s="4">
        <f>+E162-K162</f>
        <v/>
      </c>
      <c r="R162" s="4">
        <f>+F162-L162</f>
        <v/>
      </c>
      <c r="S162" s="4">
        <f>+G162-M162</f>
        <v/>
      </c>
      <c r="T162" s="4">
        <f>+H162-N162</f>
        <v/>
      </c>
      <c r="U162" s="4">
        <f>+I162-O162</f>
        <v/>
      </c>
      <c r="V162" t="n">
        <v>0</v>
      </c>
      <c r="W162">
        <f>VLOOKUP(A162,'GST Wise Reco'!$A$4:$T$30,20,0)</f>
        <v/>
      </c>
      <c r="X162" t="inlineStr">
        <is>
          <t>Book And 2B Match-Invocies No Mis-Match</t>
        </is>
      </c>
      <c r="Y162" s="6" t="inlineStr">
        <is>
          <t>Book And 2B Match-Invocies No Mis-Match</t>
        </is>
      </c>
    </row>
    <row r="163">
      <c r="A163" t="inlineStr">
        <is>
          <t>AAWFM3818Q</t>
        </is>
      </c>
      <c r="B163" t="inlineStr">
        <is>
          <t>AAWFM3818Q_MCO2526856</t>
        </is>
      </c>
      <c r="D163" t="n">
        <v>0</v>
      </c>
      <c r="E163" s="4">
        <f>SUMIF(Book!$G:$G,$B163,Book!J:J)</f>
        <v/>
      </c>
      <c r="F163" s="4">
        <f>SUMIF(Book!$G:$G,$B163,Book!L:L)</f>
        <v/>
      </c>
      <c r="G163" s="4">
        <f>SUMIF(Book!$G:$G,$B163,Book!M:M)</f>
        <v/>
      </c>
      <c r="H163" s="4">
        <f>SUMIF(Book!$G:$G,$B163,Book!N:N)</f>
        <v/>
      </c>
      <c r="I163" s="4">
        <f>SUMIF(Book!$G:$G,$B163,Book!O:O)</f>
        <v/>
      </c>
      <c r="J163" t="n">
        <v>0</v>
      </c>
      <c r="K163" s="4">
        <f>SUMIF('GSTR-2B'!$G:$G,$B163,'GSTR-2B'!J:J)</f>
        <v/>
      </c>
      <c r="L163" s="4">
        <f>SUMIF('GSTR-2B'!$G:$G,$B163,'GSTR-2B'!L:L)</f>
        <v/>
      </c>
      <c r="M163" s="4">
        <f>SUMIF('GSTR-2B'!$G:$G,$B163,'GSTR-2B'!M:M)</f>
        <v/>
      </c>
      <c r="N163" s="4">
        <f>SUMIF('GSTR-2B'!$G:$G,$B163,'GSTR-2B'!N:N)</f>
        <v/>
      </c>
      <c r="O163" s="4">
        <f>SUMIF('GSTR-2B'!$G:$G,$B163,'GSTR-2B'!O:O)</f>
        <v/>
      </c>
      <c r="P163" t="n">
        <v>0</v>
      </c>
      <c r="Q163" s="4">
        <f>+E163-K163</f>
        <v/>
      </c>
      <c r="R163" s="4">
        <f>+F163-L163</f>
        <v/>
      </c>
      <c r="S163" s="4">
        <f>+G163-M163</f>
        <v/>
      </c>
      <c r="T163" s="4">
        <f>+H163-N163</f>
        <v/>
      </c>
      <c r="U163" s="4">
        <f>+I163-O163</f>
        <v/>
      </c>
      <c r="V163" t="n">
        <v>0</v>
      </c>
      <c r="W163">
        <f>VLOOKUP(A163,'GST Wise Reco'!$A$4:$T$30,20,0)</f>
        <v/>
      </c>
      <c r="X163" t="inlineStr">
        <is>
          <t>Book And 2B Match</t>
        </is>
      </c>
      <c r="Y163" s="5" t="inlineStr">
        <is>
          <t>Book And 2B Match</t>
        </is>
      </c>
    </row>
    <row r="164">
      <c r="A164" t="inlineStr">
        <is>
          <t>AAWFM3818Q</t>
        </is>
      </c>
      <c r="B164" t="inlineStr">
        <is>
          <t>AAWFM3818Q_MCO2526876</t>
        </is>
      </c>
      <c r="D164" t="n">
        <v>0</v>
      </c>
      <c r="E164" s="4">
        <f>SUMIF(Book!$G:$G,$B164,Book!J:J)</f>
        <v/>
      </c>
      <c r="F164" s="4">
        <f>SUMIF(Book!$G:$G,$B164,Book!L:L)</f>
        <v/>
      </c>
      <c r="G164" s="4">
        <f>SUMIF(Book!$G:$G,$B164,Book!M:M)</f>
        <v/>
      </c>
      <c r="H164" s="4">
        <f>SUMIF(Book!$G:$G,$B164,Book!N:N)</f>
        <v/>
      </c>
      <c r="I164" s="4">
        <f>SUMIF(Book!$G:$G,$B164,Book!O:O)</f>
        <v/>
      </c>
      <c r="J164" t="n">
        <v>0</v>
      </c>
      <c r="K164" s="4">
        <f>SUMIF('GSTR-2B'!$G:$G,$B164,'GSTR-2B'!J:J)</f>
        <v/>
      </c>
      <c r="L164" s="4">
        <f>SUMIF('GSTR-2B'!$G:$G,$B164,'GSTR-2B'!L:L)</f>
        <v/>
      </c>
      <c r="M164" s="4">
        <f>SUMIF('GSTR-2B'!$G:$G,$B164,'GSTR-2B'!M:M)</f>
        <v/>
      </c>
      <c r="N164" s="4">
        <f>SUMIF('GSTR-2B'!$G:$G,$B164,'GSTR-2B'!N:N)</f>
        <v/>
      </c>
      <c r="O164" s="4">
        <f>SUMIF('GSTR-2B'!$G:$G,$B164,'GSTR-2B'!O:O)</f>
        <v/>
      </c>
      <c r="P164" t="n">
        <v>0</v>
      </c>
      <c r="Q164" s="4">
        <f>+E164-K164</f>
        <v/>
      </c>
      <c r="R164" s="4">
        <f>+F164-L164</f>
        <v/>
      </c>
      <c r="S164" s="4">
        <f>+G164-M164</f>
        <v/>
      </c>
      <c r="T164" s="4">
        <f>+H164-N164</f>
        <v/>
      </c>
      <c r="U164" s="4">
        <f>+I164-O164</f>
        <v/>
      </c>
      <c r="V164" t="n">
        <v>0</v>
      </c>
      <c r="W164">
        <f>VLOOKUP(A164,'GST Wise Reco'!$A$4:$T$30,20,0)</f>
        <v/>
      </c>
      <c r="X164" t="inlineStr">
        <is>
          <t>Book And 2B Match</t>
        </is>
      </c>
      <c r="Y164" s="5" t="inlineStr">
        <is>
          <t>Book And 2B Match</t>
        </is>
      </c>
    </row>
    <row r="165">
      <c r="A165" t="inlineStr">
        <is>
          <t>AAWFM3818Q</t>
        </is>
      </c>
      <c r="B165" t="inlineStr">
        <is>
          <t>AAWFM3818Q_MCO2526965</t>
        </is>
      </c>
      <c r="D165" t="n">
        <v>0</v>
      </c>
      <c r="E165" s="4">
        <f>SUMIF(Book!$G:$G,$B165,Book!J:J)</f>
        <v/>
      </c>
      <c r="F165" s="4">
        <f>SUMIF(Book!$G:$G,$B165,Book!L:L)</f>
        <v/>
      </c>
      <c r="G165" s="4">
        <f>SUMIF(Book!$G:$G,$B165,Book!M:M)</f>
        <v/>
      </c>
      <c r="H165" s="4">
        <f>SUMIF(Book!$G:$G,$B165,Book!N:N)</f>
        <v/>
      </c>
      <c r="I165" s="4">
        <f>SUMIF(Book!$G:$G,$B165,Book!O:O)</f>
        <v/>
      </c>
      <c r="J165" t="n">
        <v>0</v>
      </c>
      <c r="K165" s="4">
        <f>SUMIF('GSTR-2B'!$G:$G,$B165,'GSTR-2B'!J:J)</f>
        <v/>
      </c>
      <c r="L165" s="4">
        <f>SUMIF('GSTR-2B'!$G:$G,$B165,'GSTR-2B'!L:L)</f>
        <v/>
      </c>
      <c r="M165" s="4">
        <f>SUMIF('GSTR-2B'!$G:$G,$B165,'GSTR-2B'!M:M)</f>
        <v/>
      </c>
      <c r="N165" s="4">
        <f>SUMIF('GSTR-2B'!$G:$G,$B165,'GSTR-2B'!N:N)</f>
        <v/>
      </c>
      <c r="O165" s="4">
        <f>SUMIF('GSTR-2B'!$G:$G,$B165,'GSTR-2B'!O:O)</f>
        <v/>
      </c>
      <c r="P165" t="n">
        <v>0</v>
      </c>
      <c r="Q165" s="4">
        <f>+E165-K165</f>
        <v/>
      </c>
      <c r="R165" s="4">
        <f>+F165-L165</f>
        <v/>
      </c>
      <c r="S165" s="4">
        <f>+G165-M165</f>
        <v/>
      </c>
      <c r="T165" s="4">
        <f>+H165-N165</f>
        <v/>
      </c>
      <c r="U165" s="4">
        <f>+I165-O165</f>
        <v/>
      </c>
      <c r="V165" t="n">
        <v>0</v>
      </c>
      <c r="W165">
        <f>VLOOKUP(A165,'GST Wise Reco'!$A$4:$T$30,20,0)</f>
        <v/>
      </c>
      <c r="X165" t="inlineStr">
        <is>
          <t>Book And 2B Match</t>
        </is>
      </c>
      <c r="Y165" s="5" t="inlineStr">
        <is>
          <t>Book And 2B Match</t>
        </is>
      </c>
    </row>
    <row r="166">
      <c r="A166" t="inlineStr">
        <is>
          <t>ABDCS7338G</t>
        </is>
      </c>
      <c r="B166" t="inlineStr">
        <is>
          <t>ABDCS7338G_STPL-25-26/179</t>
        </is>
      </c>
      <c r="D166" t="n">
        <v>0</v>
      </c>
      <c r="E166" s="4">
        <f>SUMIF(Book!$G:$G,$B166,Book!J:J)</f>
        <v/>
      </c>
      <c r="F166" s="4">
        <f>SUMIF(Book!$G:$G,$B166,Book!L:L)</f>
        <v/>
      </c>
      <c r="G166" s="4">
        <f>SUMIF(Book!$G:$G,$B166,Book!M:M)</f>
        <v/>
      </c>
      <c r="H166" s="4">
        <f>SUMIF(Book!$G:$G,$B166,Book!N:N)</f>
        <v/>
      </c>
      <c r="I166" s="4">
        <f>SUMIF(Book!$G:$G,$B166,Book!O:O)</f>
        <v/>
      </c>
      <c r="J166" t="n">
        <v>0</v>
      </c>
      <c r="K166" s="4">
        <f>SUMIF('GSTR-2B'!$G:$G,$B166,'GSTR-2B'!J:J)</f>
        <v/>
      </c>
      <c r="L166" s="4">
        <f>SUMIF('GSTR-2B'!$G:$G,$B166,'GSTR-2B'!L:L)</f>
        <v/>
      </c>
      <c r="M166" s="4">
        <f>SUMIF('GSTR-2B'!$G:$G,$B166,'GSTR-2B'!M:M)</f>
        <v/>
      </c>
      <c r="N166" s="4">
        <f>SUMIF('GSTR-2B'!$G:$G,$B166,'GSTR-2B'!N:N)</f>
        <v/>
      </c>
      <c r="O166" s="4">
        <f>SUMIF('GSTR-2B'!$G:$G,$B166,'GSTR-2B'!O:O)</f>
        <v/>
      </c>
      <c r="P166" t="n">
        <v>0</v>
      </c>
      <c r="Q166" s="4">
        <f>+E166-K166</f>
        <v/>
      </c>
      <c r="R166" s="4">
        <f>+F166-L166</f>
        <v/>
      </c>
      <c r="S166" s="4">
        <f>+G166-M166</f>
        <v/>
      </c>
      <c r="T166" s="4">
        <f>+H166-N166</f>
        <v/>
      </c>
      <c r="U166" s="4">
        <f>+I166-O166</f>
        <v/>
      </c>
      <c r="V166" t="n">
        <v>0</v>
      </c>
      <c r="W166">
        <f>VLOOKUP(A166,'GST Wise Reco'!$A$4:$T$30,20,0)</f>
        <v/>
      </c>
      <c r="X166" t="inlineStr">
        <is>
          <t>Book And 2B Match-Invocies No Mis-Match</t>
        </is>
      </c>
      <c r="Y166" s="5" t="inlineStr">
        <is>
          <t>Book And 2B Match</t>
        </is>
      </c>
    </row>
    <row r="167">
      <c r="A167" t="inlineStr">
        <is>
          <t>ABDCS7338G</t>
        </is>
      </c>
      <c r="B167" t="inlineStr">
        <is>
          <t>ABDCS7338G_STPL/25-26/012</t>
        </is>
      </c>
      <c r="D167" t="n">
        <v>0</v>
      </c>
      <c r="E167" s="4">
        <f>SUMIF(Book!$G:$G,$B167,Book!J:J)</f>
        <v/>
      </c>
      <c r="F167" s="4">
        <f>SUMIF(Book!$G:$G,$B167,Book!L:L)</f>
        <v/>
      </c>
      <c r="G167" s="4">
        <f>SUMIF(Book!$G:$G,$B167,Book!M:M)</f>
        <v/>
      </c>
      <c r="H167" s="4">
        <f>SUMIF(Book!$G:$G,$B167,Book!N:N)</f>
        <v/>
      </c>
      <c r="I167" s="4">
        <f>SUMIF(Book!$G:$G,$B167,Book!O:O)</f>
        <v/>
      </c>
      <c r="J167" t="n">
        <v>0</v>
      </c>
      <c r="K167" s="4">
        <f>SUMIF('GSTR-2B'!$G:$G,$B167,'GSTR-2B'!J:J)</f>
        <v/>
      </c>
      <c r="L167" s="4">
        <f>SUMIF('GSTR-2B'!$G:$G,$B167,'GSTR-2B'!L:L)</f>
        <v/>
      </c>
      <c r="M167" s="4">
        <f>SUMIF('GSTR-2B'!$G:$G,$B167,'GSTR-2B'!M:M)</f>
        <v/>
      </c>
      <c r="N167" s="4">
        <f>SUMIF('GSTR-2B'!$G:$G,$B167,'GSTR-2B'!N:N)</f>
        <v/>
      </c>
      <c r="O167" s="4">
        <f>SUMIF('GSTR-2B'!$G:$G,$B167,'GSTR-2B'!O:O)</f>
        <v/>
      </c>
      <c r="P167" t="n">
        <v>0</v>
      </c>
      <c r="Q167" s="4">
        <f>+E167-K167</f>
        <v/>
      </c>
      <c r="R167" s="4">
        <f>+F167-L167</f>
        <v/>
      </c>
      <c r="S167" s="4">
        <f>+G167-M167</f>
        <v/>
      </c>
      <c r="T167" s="4">
        <f>+H167-N167</f>
        <v/>
      </c>
      <c r="U167" s="4">
        <f>+I167-O167</f>
        <v/>
      </c>
      <c r="V167" t="n">
        <v>0</v>
      </c>
      <c r="W167">
        <f>VLOOKUP(A167,'GST Wise Reco'!$A$4:$T$30,20,0)</f>
        <v/>
      </c>
      <c r="X167" t="inlineStr">
        <is>
          <t>Book And 2B Match</t>
        </is>
      </c>
      <c r="Y167" s="5" t="inlineStr">
        <is>
          <t>Book And 2B Match</t>
        </is>
      </c>
    </row>
    <row r="168">
      <c r="A168" t="inlineStr">
        <is>
          <t>ABDCS7338G</t>
        </is>
      </c>
      <c r="B168" t="inlineStr">
        <is>
          <t>ABDCS7338G_STPL/25-26/034</t>
        </is>
      </c>
      <c r="D168" t="n">
        <v>0</v>
      </c>
      <c r="E168" s="4">
        <f>SUMIF(Book!$G:$G,$B168,Book!J:J)</f>
        <v/>
      </c>
      <c r="F168" s="4">
        <f>SUMIF(Book!$G:$G,$B168,Book!L:L)</f>
        <v/>
      </c>
      <c r="G168" s="4">
        <f>SUMIF(Book!$G:$G,$B168,Book!M:M)</f>
        <v/>
      </c>
      <c r="H168" s="4">
        <f>SUMIF(Book!$G:$G,$B168,Book!N:N)</f>
        <v/>
      </c>
      <c r="I168" s="4">
        <f>SUMIF(Book!$G:$G,$B168,Book!O:O)</f>
        <v/>
      </c>
      <c r="J168" t="n">
        <v>0</v>
      </c>
      <c r="K168" s="4">
        <f>SUMIF('GSTR-2B'!$G:$G,$B168,'GSTR-2B'!J:J)</f>
        <v/>
      </c>
      <c r="L168" s="4">
        <f>SUMIF('GSTR-2B'!$G:$G,$B168,'GSTR-2B'!L:L)</f>
        <v/>
      </c>
      <c r="M168" s="4">
        <f>SUMIF('GSTR-2B'!$G:$G,$B168,'GSTR-2B'!M:M)</f>
        <v/>
      </c>
      <c r="N168" s="4">
        <f>SUMIF('GSTR-2B'!$G:$G,$B168,'GSTR-2B'!N:N)</f>
        <v/>
      </c>
      <c r="O168" s="4">
        <f>SUMIF('GSTR-2B'!$G:$G,$B168,'GSTR-2B'!O:O)</f>
        <v/>
      </c>
      <c r="P168" t="n">
        <v>0</v>
      </c>
      <c r="Q168" s="4">
        <f>+E168-K168</f>
        <v/>
      </c>
      <c r="R168" s="4">
        <f>+F168-L168</f>
        <v/>
      </c>
      <c r="S168" s="4">
        <f>+G168-M168</f>
        <v/>
      </c>
      <c r="T168" s="4">
        <f>+H168-N168</f>
        <v/>
      </c>
      <c r="U168" s="4">
        <f>+I168-O168</f>
        <v/>
      </c>
      <c r="V168" t="n">
        <v>0</v>
      </c>
      <c r="W168">
        <f>VLOOKUP(A168,'GST Wise Reco'!$A$4:$T$30,20,0)</f>
        <v/>
      </c>
      <c r="X168" t="inlineStr">
        <is>
          <t>Book And 2B Match</t>
        </is>
      </c>
      <c r="Y168" s="5" t="inlineStr">
        <is>
          <t>Book And 2B Match</t>
        </is>
      </c>
    </row>
    <row r="169">
      <c r="A169" t="inlineStr">
        <is>
          <t>ABDCS7338G</t>
        </is>
      </c>
      <c r="B169" t="inlineStr">
        <is>
          <t>ABDCS7338G_STPL/25-26/093</t>
        </is>
      </c>
      <c r="D169" t="n">
        <v>0</v>
      </c>
      <c r="E169" s="4">
        <f>SUMIF(Book!$G:$G,$B169,Book!J:J)</f>
        <v/>
      </c>
      <c r="F169" s="4">
        <f>SUMIF(Book!$G:$G,$B169,Book!L:L)</f>
        <v/>
      </c>
      <c r="G169" s="4">
        <f>SUMIF(Book!$G:$G,$B169,Book!M:M)</f>
        <v/>
      </c>
      <c r="H169" s="4">
        <f>SUMIF(Book!$G:$G,$B169,Book!N:N)</f>
        <v/>
      </c>
      <c r="I169" s="4">
        <f>SUMIF(Book!$G:$G,$B169,Book!O:O)</f>
        <v/>
      </c>
      <c r="J169" t="n">
        <v>0</v>
      </c>
      <c r="K169" s="4">
        <f>SUMIF('GSTR-2B'!$G:$G,$B169,'GSTR-2B'!J:J)</f>
        <v/>
      </c>
      <c r="L169" s="4">
        <f>SUMIF('GSTR-2B'!$G:$G,$B169,'GSTR-2B'!L:L)</f>
        <v/>
      </c>
      <c r="M169" s="4">
        <f>SUMIF('GSTR-2B'!$G:$G,$B169,'GSTR-2B'!M:M)</f>
        <v/>
      </c>
      <c r="N169" s="4">
        <f>SUMIF('GSTR-2B'!$G:$G,$B169,'GSTR-2B'!N:N)</f>
        <v/>
      </c>
      <c r="O169" s="4">
        <f>SUMIF('GSTR-2B'!$G:$G,$B169,'GSTR-2B'!O:O)</f>
        <v/>
      </c>
      <c r="P169" t="n">
        <v>0</v>
      </c>
      <c r="Q169" s="4">
        <f>+E169-K169</f>
        <v/>
      </c>
      <c r="R169" s="4">
        <f>+F169-L169</f>
        <v/>
      </c>
      <c r="S169" s="4">
        <f>+G169-M169</f>
        <v/>
      </c>
      <c r="T169" s="4">
        <f>+H169-N169</f>
        <v/>
      </c>
      <c r="U169" s="4">
        <f>+I169-O169</f>
        <v/>
      </c>
      <c r="V169" t="n">
        <v>0</v>
      </c>
      <c r="W169">
        <f>VLOOKUP(A169,'GST Wise Reco'!$A$4:$T$30,20,0)</f>
        <v/>
      </c>
      <c r="X169" t="inlineStr">
        <is>
          <t>Book And 2B Match</t>
        </is>
      </c>
      <c r="Y169" s="5" t="inlineStr">
        <is>
          <t>Book And 2B Match</t>
        </is>
      </c>
    </row>
    <row r="170">
      <c r="A170" t="inlineStr">
        <is>
          <t>ABDCS7338G</t>
        </is>
      </c>
      <c r="B170" t="inlineStr">
        <is>
          <t>ABDCS7338G_STPL/25-26/126</t>
        </is>
      </c>
      <c r="D170" t="n">
        <v>0</v>
      </c>
      <c r="E170" s="4">
        <f>SUMIF(Book!$G:$G,$B170,Book!J:J)</f>
        <v/>
      </c>
      <c r="F170" s="4">
        <f>SUMIF(Book!$G:$G,$B170,Book!L:L)</f>
        <v/>
      </c>
      <c r="G170" s="4">
        <f>SUMIF(Book!$G:$G,$B170,Book!M:M)</f>
        <v/>
      </c>
      <c r="H170" s="4">
        <f>SUMIF(Book!$G:$G,$B170,Book!N:N)</f>
        <v/>
      </c>
      <c r="I170" s="4">
        <f>SUMIF(Book!$G:$G,$B170,Book!O:O)</f>
        <v/>
      </c>
      <c r="J170" t="n">
        <v>0</v>
      </c>
      <c r="K170" s="4">
        <f>SUMIF('GSTR-2B'!$G:$G,$B170,'GSTR-2B'!J:J)</f>
        <v/>
      </c>
      <c r="L170" s="4">
        <f>SUMIF('GSTR-2B'!$G:$G,$B170,'GSTR-2B'!L:L)</f>
        <v/>
      </c>
      <c r="M170" s="4">
        <f>SUMIF('GSTR-2B'!$G:$G,$B170,'GSTR-2B'!M:M)</f>
        <v/>
      </c>
      <c r="N170" s="4">
        <f>SUMIF('GSTR-2B'!$G:$G,$B170,'GSTR-2B'!N:N)</f>
        <v/>
      </c>
      <c r="O170" s="4">
        <f>SUMIF('GSTR-2B'!$G:$G,$B170,'GSTR-2B'!O:O)</f>
        <v/>
      </c>
      <c r="P170" t="n">
        <v>0</v>
      </c>
      <c r="Q170" s="4">
        <f>+E170-K170</f>
        <v/>
      </c>
      <c r="R170" s="4">
        <f>+F170-L170</f>
        <v/>
      </c>
      <c r="S170" s="4">
        <f>+G170-M170</f>
        <v/>
      </c>
      <c r="T170" s="4">
        <f>+H170-N170</f>
        <v/>
      </c>
      <c r="U170" s="4">
        <f>+I170-O170</f>
        <v/>
      </c>
      <c r="V170" t="n">
        <v>0</v>
      </c>
      <c r="W170">
        <f>VLOOKUP(A170,'GST Wise Reco'!$A$4:$T$30,20,0)</f>
        <v/>
      </c>
      <c r="X170" t="inlineStr">
        <is>
          <t>Book And 2B Match</t>
        </is>
      </c>
      <c r="Y170" s="5" t="inlineStr">
        <is>
          <t>Book And 2B Match</t>
        </is>
      </c>
    </row>
    <row r="171">
      <c r="A171" t="inlineStr">
        <is>
          <t>ABDCS7338G</t>
        </is>
      </c>
      <c r="B171" t="inlineStr">
        <is>
          <t>ABDCS7338G_STPL/25-26/153</t>
        </is>
      </c>
      <c r="D171" t="n">
        <v>0</v>
      </c>
      <c r="E171" s="4">
        <f>SUMIF(Book!$G:$G,$B171,Book!J:J)</f>
        <v/>
      </c>
      <c r="F171" s="4">
        <f>SUMIF(Book!$G:$G,$B171,Book!L:L)</f>
        <v/>
      </c>
      <c r="G171" s="4">
        <f>SUMIF(Book!$G:$G,$B171,Book!M:M)</f>
        <v/>
      </c>
      <c r="H171" s="4">
        <f>SUMIF(Book!$G:$G,$B171,Book!N:N)</f>
        <v/>
      </c>
      <c r="I171" s="4">
        <f>SUMIF(Book!$G:$G,$B171,Book!O:O)</f>
        <v/>
      </c>
      <c r="J171" t="n">
        <v>0</v>
      </c>
      <c r="K171" s="4">
        <f>SUMIF('GSTR-2B'!$G:$G,$B171,'GSTR-2B'!J:J)</f>
        <v/>
      </c>
      <c r="L171" s="4">
        <f>SUMIF('GSTR-2B'!$G:$G,$B171,'GSTR-2B'!L:L)</f>
        <v/>
      </c>
      <c r="M171" s="4">
        <f>SUMIF('GSTR-2B'!$G:$G,$B171,'GSTR-2B'!M:M)</f>
        <v/>
      </c>
      <c r="N171" s="4">
        <f>SUMIF('GSTR-2B'!$G:$G,$B171,'GSTR-2B'!N:N)</f>
        <v/>
      </c>
      <c r="O171" s="4">
        <f>SUMIF('GSTR-2B'!$G:$G,$B171,'GSTR-2B'!O:O)</f>
        <v/>
      </c>
      <c r="P171" t="n">
        <v>0</v>
      </c>
      <c r="Q171" s="4">
        <f>+E171-K171</f>
        <v/>
      </c>
      <c r="R171" s="4">
        <f>+F171-L171</f>
        <v/>
      </c>
      <c r="S171" s="4">
        <f>+G171-M171</f>
        <v/>
      </c>
      <c r="T171" s="4">
        <f>+H171-N171</f>
        <v/>
      </c>
      <c r="U171" s="4">
        <f>+I171-O171</f>
        <v/>
      </c>
      <c r="V171" t="n">
        <v>0</v>
      </c>
      <c r="W171">
        <f>VLOOKUP(A171,'GST Wise Reco'!$A$4:$T$30,20,0)</f>
        <v/>
      </c>
      <c r="X171" t="inlineStr">
        <is>
          <t>Book And 2B Match</t>
        </is>
      </c>
      <c r="Y171" s="5" t="inlineStr">
        <is>
          <t>Book And 2B Match</t>
        </is>
      </c>
    </row>
    <row r="172">
      <c r="A172" t="inlineStr">
        <is>
          <t>ABDCS7338G</t>
        </is>
      </c>
      <c r="B172" t="inlineStr">
        <is>
          <t>ABDCS7338G_STPL/25-26/179</t>
        </is>
      </c>
      <c r="D172" t="n">
        <v>0</v>
      </c>
      <c r="E172" s="4">
        <f>SUMIF(Book!$G:$G,$B172,Book!J:J)</f>
        <v/>
      </c>
      <c r="F172" s="4">
        <f>SUMIF(Book!$G:$G,$B172,Book!L:L)</f>
        <v/>
      </c>
      <c r="G172" s="4">
        <f>SUMIF(Book!$G:$G,$B172,Book!M:M)</f>
        <v/>
      </c>
      <c r="H172" s="4">
        <f>SUMIF(Book!$G:$G,$B172,Book!N:N)</f>
        <v/>
      </c>
      <c r="I172" s="4">
        <f>SUMIF(Book!$G:$G,$B172,Book!O:O)</f>
        <v/>
      </c>
      <c r="J172" t="n">
        <v>0</v>
      </c>
      <c r="K172" s="4">
        <f>SUMIF('GSTR-2B'!$G:$G,$B172,'GSTR-2B'!J:J)</f>
        <v/>
      </c>
      <c r="L172" s="4">
        <f>SUMIF('GSTR-2B'!$G:$G,$B172,'GSTR-2B'!L:L)</f>
        <v/>
      </c>
      <c r="M172" s="4">
        <f>SUMIF('GSTR-2B'!$G:$G,$B172,'GSTR-2B'!M:M)</f>
        <v/>
      </c>
      <c r="N172" s="4">
        <f>SUMIF('GSTR-2B'!$G:$G,$B172,'GSTR-2B'!N:N)</f>
        <v/>
      </c>
      <c r="O172" s="4">
        <f>SUMIF('GSTR-2B'!$G:$G,$B172,'GSTR-2B'!O:O)</f>
        <v/>
      </c>
      <c r="P172" t="n">
        <v>0</v>
      </c>
      <c r="Q172" s="4">
        <f>+E172-K172</f>
        <v/>
      </c>
      <c r="R172" s="4">
        <f>+F172-L172</f>
        <v/>
      </c>
      <c r="S172" s="4">
        <f>+G172-M172</f>
        <v/>
      </c>
      <c r="T172" s="4">
        <f>+H172-N172</f>
        <v/>
      </c>
      <c r="U172" s="4">
        <f>+I172-O172</f>
        <v/>
      </c>
      <c r="V172" t="n">
        <v>0</v>
      </c>
      <c r="W172">
        <f>VLOOKUP(A172,'GST Wise Reco'!$A$4:$T$30,20,0)</f>
        <v/>
      </c>
      <c r="X172" t="inlineStr">
        <is>
          <t>Book And 2B Match-Invocies No Mis-Match</t>
        </is>
      </c>
      <c r="Y172" s="5" t="inlineStr">
        <is>
          <t>Book And 2B Match</t>
        </is>
      </c>
    </row>
    <row r="173">
      <c r="A173" t="inlineStr">
        <is>
          <t>ABDCS7338G</t>
        </is>
      </c>
      <c r="B173" t="inlineStr">
        <is>
          <t>ABDCS7338G_STPL/25-26/206</t>
        </is>
      </c>
      <c r="D173" t="n">
        <v>0</v>
      </c>
      <c r="E173" s="4">
        <f>SUMIF(Book!$G:$G,$B173,Book!J:J)</f>
        <v/>
      </c>
      <c r="F173" s="4">
        <f>SUMIF(Book!$G:$G,$B173,Book!L:L)</f>
        <v/>
      </c>
      <c r="G173" s="4">
        <f>SUMIF(Book!$G:$G,$B173,Book!M:M)</f>
        <v/>
      </c>
      <c r="H173" s="4">
        <f>SUMIF(Book!$G:$G,$B173,Book!N:N)</f>
        <v/>
      </c>
      <c r="I173" s="4">
        <f>SUMIF(Book!$G:$G,$B173,Book!O:O)</f>
        <v/>
      </c>
      <c r="J173" t="n">
        <v>0</v>
      </c>
      <c r="K173" s="4">
        <f>SUMIF('GSTR-2B'!$G:$G,$B173,'GSTR-2B'!J:J)</f>
        <v/>
      </c>
      <c r="L173" s="4">
        <f>SUMIF('GSTR-2B'!$G:$G,$B173,'GSTR-2B'!L:L)</f>
        <v/>
      </c>
      <c r="M173" s="4">
        <f>SUMIF('GSTR-2B'!$G:$G,$B173,'GSTR-2B'!M:M)</f>
        <v/>
      </c>
      <c r="N173" s="4">
        <f>SUMIF('GSTR-2B'!$G:$G,$B173,'GSTR-2B'!N:N)</f>
        <v/>
      </c>
      <c r="O173" s="4">
        <f>SUMIF('GSTR-2B'!$G:$G,$B173,'GSTR-2B'!O:O)</f>
        <v/>
      </c>
      <c r="P173" t="n">
        <v>0</v>
      </c>
      <c r="Q173" s="4">
        <f>+E173-K173</f>
        <v/>
      </c>
      <c r="R173" s="4">
        <f>+F173-L173</f>
        <v/>
      </c>
      <c r="S173" s="4">
        <f>+G173-M173</f>
        <v/>
      </c>
      <c r="T173" s="4">
        <f>+H173-N173</f>
        <v/>
      </c>
      <c r="U173" s="4">
        <f>+I173-O173</f>
        <v/>
      </c>
      <c r="V173" t="n">
        <v>0</v>
      </c>
      <c r="W173">
        <f>VLOOKUP(A173,'GST Wise Reco'!$A$4:$T$30,20,0)</f>
        <v/>
      </c>
      <c r="X173" t="inlineStr">
        <is>
          <t>Book And 2B Match</t>
        </is>
      </c>
      <c r="Y173" s="5" t="inlineStr">
        <is>
          <t>Book And 2B Match</t>
        </is>
      </c>
    </row>
    <row r="174">
      <c r="A174" t="inlineStr">
        <is>
          <t>ABDCS7338G</t>
        </is>
      </c>
      <c r="B174" t="inlineStr">
        <is>
          <t>ABDCS7338G_STPL/25-26/231</t>
        </is>
      </c>
      <c r="D174" t="n">
        <v>0</v>
      </c>
      <c r="E174" s="4">
        <f>SUMIF(Book!$G:$G,$B174,Book!J:J)</f>
        <v/>
      </c>
      <c r="F174" s="4">
        <f>SUMIF(Book!$G:$G,$B174,Book!L:L)</f>
        <v/>
      </c>
      <c r="G174" s="4">
        <f>SUMIF(Book!$G:$G,$B174,Book!M:M)</f>
        <v/>
      </c>
      <c r="H174" s="4">
        <f>SUMIF(Book!$G:$G,$B174,Book!N:N)</f>
        <v/>
      </c>
      <c r="I174" s="4">
        <f>SUMIF(Book!$G:$G,$B174,Book!O:O)</f>
        <v/>
      </c>
      <c r="J174" t="n">
        <v>0</v>
      </c>
      <c r="K174" s="4">
        <f>SUMIF('GSTR-2B'!$G:$G,$B174,'GSTR-2B'!J:J)</f>
        <v/>
      </c>
      <c r="L174" s="4">
        <f>SUMIF('GSTR-2B'!$G:$G,$B174,'GSTR-2B'!L:L)</f>
        <v/>
      </c>
      <c r="M174" s="4">
        <f>SUMIF('GSTR-2B'!$G:$G,$B174,'GSTR-2B'!M:M)</f>
        <v/>
      </c>
      <c r="N174" s="4">
        <f>SUMIF('GSTR-2B'!$G:$G,$B174,'GSTR-2B'!N:N)</f>
        <v/>
      </c>
      <c r="O174" s="4">
        <f>SUMIF('GSTR-2B'!$G:$G,$B174,'GSTR-2B'!O:O)</f>
        <v/>
      </c>
      <c r="P174" t="n">
        <v>0</v>
      </c>
      <c r="Q174" s="4">
        <f>+E174-K174</f>
        <v/>
      </c>
      <c r="R174" s="4">
        <f>+F174-L174</f>
        <v/>
      </c>
      <c r="S174" s="4">
        <f>+G174-M174</f>
        <v/>
      </c>
      <c r="T174" s="4">
        <f>+H174-N174</f>
        <v/>
      </c>
      <c r="U174" s="4">
        <f>+I174-O174</f>
        <v/>
      </c>
      <c r="V174" t="n">
        <v>0</v>
      </c>
      <c r="W174">
        <f>VLOOKUP(A174,'GST Wise Reco'!$A$4:$T$30,20,0)</f>
        <v/>
      </c>
      <c r="X174" t="inlineStr">
        <is>
          <t>Book And 2B Match</t>
        </is>
      </c>
      <c r="Y174" s="5" t="inlineStr">
        <is>
          <t>Book And 2B Match</t>
        </is>
      </c>
    </row>
    <row r="175">
      <c r="A175" t="inlineStr">
        <is>
          <t>ABDCS7338G</t>
        </is>
      </c>
      <c r="B175" t="inlineStr">
        <is>
          <t>ABDCS7338G_STPL/25-26/259</t>
        </is>
      </c>
      <c r="D175" t="n">
        <v>0</v>
      </c>
      <c r="E175" s="4">
        <f>SUMIF(Book!$G:$G,$B175,Book!J:J)</f>
        <v/>
      </c>
      <c r="F175" s="4">
        <f>SUMIF(Book!$G:$G,$B175,Book!L:L)</f>
        <v/>
      </c>
      <c r="G175" s="4">
        <f>SUMIF(Book!$G:$G,$B175,Book!M:M)</f>
        <v/>
      </c>
      <c r="H175" s="4">
        <f>SUMIF(Book!$G:$G,$B175,Book!N:N)</f>
        <v/>
      </c>
      <c r="I175" s="4">
        <f>SUMIF(Book!$G:$G,$B175,Book!O:O)</f>
        <v/>
      </c>
      <c r="J175" t="n">
        <v>0</v>
      </c>
      <c r="K175" s="4">
        <f>SUMIF('GSTR-2B'!$G:$G,$B175,'GSTR-2B'!J:J)</f>
        <v/>
      </c>
      <c r="L175" s="4">
        <f>SUMIF('GSTR-2B'!$G:$G,$B175,'GSTR-2B'!L:L)</f>
        <v/>
      </c>
      <c r="M175" s="4">
        <f>SUMIF('GSTR-2B'!$G:$G,$B175,'GSTR-2B'!M:M)</f>
        <v/>
      </c>
      <c r="N175" s="4">
        <f>SUMIF('GSTR-2B'!$G:$G,$B175,'GSTR-2B'!N:N)</f>
        <v/>
      </c>
      <c r="O175" s="4">
        <f>SUMIF('GSTR-2B'!$G:$G,$B175,'GSTR-2B'!O:O)</f>
        <v/>
      </c>
      <c r="P175" t="n">
        <v>0</v>
      </c>
      <c r="Q175" s="4">
        <f>+E175-K175</f>
        <v/>
      </c>
      <c r="R175" s="4">
        <f>+F175-L175</f>
        <v/>
      </c>
      <c r="S175" s="4">
        <f>+G175-M175</f>
        <v/>
      </c>
      <c r="T175" s="4">
        <f>+H175-N175</f>
        <v/>
      </c>
      <c r="U175" s="4">
        <f>+I175-O175</f>
        <v/>
      </c>
      <c r="V175" t="n">
        <v>0</v>
      </c>
      <c r="W175">
        <f>VLOOKUP(A175,'GST Wise Reco'!$A$4:$T$30,20,0)</f>
        <v/>
      </c>
      <c r="X175" t="inlineStr">
        <is>
          <t>Book And 2B Match</t>
        </is>
      </c>
      <c r="Y175" s="5" t="inlineStr">
        <is>
          <t>Book And 2B Match</t>
        </is>
      </c>
    </row>
    <row r="176">
      <c r="A176" t="inlineStr">
        <is>
          <t>ABDCS7338G</t>
        </is>
      </c>
      <c r="B176" t="inlineStr">
        <is>
          <t>ABDCS7338G_STPL/25-26/337</t>
        </is>
      </c>
      <c r="D176" t="n">
        <v>0</v>
      </c>
      <c r="E176" s="4">
        <f>SUMIF(Book!$G:$G,$B176,Book!J:J)</f>
        <v/>
      </c>
      <c r="F176" s="4">
        <f>SUMIF(Book!$G:$G,$B176,Book!L:L)</f>
        <v/>
      </c>
      <c r="G176" s="4">
        <f>SUMIF(Book!$G:$G,$B176,Book!M:M)</f>
        <v/>
      </c>
      <c r="H176" s="4">
        <f>SUMIF(Book!$G:$G,$B176,Book!N:N)</f>
        <v/>
      </c>
      <c r="I176" s="4">
        <f>SUMIF(Book!$G:$G,$B176,Book!O:O)</f>
        <v/>
      </c>
      <c r="J176" t="n">
        <v>0</v>
      </c>
      <c r="K176" s="4">
        <f>SUMIF('GSTR-2B'!$G:$G,$B176,'GSTR-2B'!J:J)</f>
        <v/>
      </c>
      <c r="L176" s="4">
        <f>SUMIF('GSTR-2B'!$G:$G,$B176,'GSTR-2B'!L:L)</f>
        <v/>
      </c>
      <c r="M176" s="4">
        <f>SUMIF('GSTR-2B'!$G:$G,$B176,'GSTR-2B'!M:M)</f>
        <v/>
      </c>
      <c r="N176" s="4">
        <f>SUMIF('GSTR-2B'!$G:$G,$B176,'GSTR-2B'!N:N)</f>
        <v/>
      </c>
      <c r="O176" s="4">
        <f>SUMIF('GSTR-2B'!$G:$G,$B176,'GSTR-2B'!O:O)</f>
        <v/>
      </c>
      <c r="P176" t="n">
        <v>0</v>
      </c>
      <c r="Q176" s="4">
        <f>+E176-K176</f>
        <v/>
      </c>
      <c r="R176" s="4">
        <f>+F176-L176</f>
        <v/>
      </c>
      <c r="S176" s="4">
        <f>+G176-M176</f>
        <v/>
      </c>
      <c r="T176" s="4">
        <f>+H176-N176</f>
        <v/>
      </c>
      <c r="U176" s="4">
        <f>+I176-O176</f>
        <v/>
      </c>
      <c r="V176" t="n">
        <v>0</v>
      </c>
      <c r="W176">
        <f>VLOOKUP(A176,'GST Wise Reco'!$A$4:$T$30,20,0)</f>
        <v/>
      </c>
      <c r="X176" t="inlineStr">
        <is>
          <t>Book And 2B Match</t>
        </is>
      </c>
      <c r="Y176" s="5" t="inlineStr">
        <is>
          <t>Book And 2B Match</t>
        </is>
      </c>
    </row>
    <row r="177">
      <c r="A177" t="inlineStr">
        <is>
          <t>ABHCS5775R</t>
        </is>
      </c>
      <c r="B177" t="inlineStr">
        <is>
          <t>ABHCS5775R_STMP/25-26/188</t>
        </is>
      </c>
      <c r="D177" t="n">
        <v>0</v>
      </c>
      <c r="E177" s="4">
        <f>SUMIF(Book!$G:$G,$B177,Book!J:J)</f>
        <v/>
      </c>
      <c r="F177" s="4">
        <f>SUMIF(Book!$G:$G,$B177,Book!L:L)</f>
        <v/>
      </c>
      <c r="G177" s="4">
        <f>SUMIF(Book!$G:$G,$B177,Book!M:M)</f>
        <v/>
      </c>
      <c r="H177" s="4">
        <f>SUMIF(Book!$G:$G,$B177,Book!N:N)</f>
        <v/>
      </c>
      <c r="I177" s="4">
        <f>SUMIF(Book!$G:$G,$B177,Book!O:O)</f>
        <v/>
      </c>
      <c r="J177" t="n">
        <v>0</v>
      </c>
      <c r="K177" s="4">
        <f>SUMIF('GSTR-2B'!$G:$G,$B177,'GSTR-2B'!J:J)</f>
        <v/>
      </c>
      <c r="L177" s="4">
        <f>SUMIF('GSTR-2B'!$G:$G,$B177,'GSTR-2B'!L:L)</f>
        <v/>
      </c>
      <c r="M177" s="4">
        <f>SUMIF('GSTR-2B'!$G:$G,$B177,'GSTR-2B'!M:M)</f>
        <v/>
      </c>
      <c r="N177" s="4">
        <f>SUMIF('GSTR-2B'!$G:$G,$B177,'GSTR-2B'!N:N)</f>
        <v/>
      </c>
      <c r="O177" s="4">
        <f>SUMIF('GSTR-2B'!$G:$G,$B177,'GSTR-2B'!O:O)</f>
        <v/>
      </c>
      <c r="P177" t="n">
        <v>0</v>
      </c>
      <c r="Q177" s="4">
        <f>+E177-K177</f>
        <v/>
      </c>
      <c r="R177" s="4">
        <f>+F177-L177</f>
        <v/>
      </c>
      <c r="S177" s="4">
        <f>+G177-M177</f>
        <v/>
      </c>
      <c r="T177" s="4">
        <f>+H177-N177</f>
        <v/>
      </c>
      <c r="U177" s="4">
        <f>+I177-O177</f>
        <v/>
      </c>
      <c r="V177" t="n">
        <v>0</v>
      </c>
      <c r="W177">
        <f>VLOOKUP(A177,'GST Wise Reco'!$A$4:$T$30,20,0)</f>
        <v/>
      </c>
      <c r="X177" t="inlineStr">
        <is>
          <t>Book And 2B Match-Invocies No Mis-Match</t>
        </is>
      </c>
      <c r="Y177" s="5" t="inlineStr">
        <is>
          <t>Book And 2B Match</t>
        </is>
      </c>
    </row>
    <row r="178">
      <c r="A178" t="inlineStr">
        <is>
          <t>ABHCS5775R</t>
        </is>
      </c>
      <c r="B178" t="inlineStr">
        <is>
          <t>ABHCS5775R_STMP/25-26/189</t>
        </is>
      </c>
      <c r="D178" t="n">
        <v>0</v>
      </c>
      <c r="E178" s="4">
        <f>SUMIF(Book!$G:$G,$B178,Book!J:J)</f>
        <v/>
      </c>
      <c r="F178" s="4">
        <f>SUMIF(Book!$G:$G,$B178,Book!L:L)</f>
        <v/>
      </c>
      <c r="G178" s="4">
        <f>SUMIF(Book!$G:$G,$B178,Book!M:M)</f>
        <v/>
      </c>
      <c r="H178" s="4">
        <f>SUMIF(Book!$G:$G,$B178,Book!N:N)</f>
        <v/>
      </c>
      <c r="I178" s="4">
        <f>SUMIF(Book!$G:$G,$B178,Book!O:O)</f>
        <v/>
      </c>
      <c r="J178" t="n">
        <v>0</v>
      </c>
      <c r="K178" s="4">
        <f>SUMIF('GSTR-2B'!$G:$G,$B178,'GSTR-2B'!J:J)</f>
        <v/>
      </c>
      <c r="L178" s="4">
        <f>SUMIF('GSTR-2B'!$G:$G,$B178,'GSTR-2B'!L:L)</f>
        <v/>
      </c>
      <c r="M178" s="4">
        <f>SUMIF('GSTR-2B'!$G:$G,$B178,'GSTR-2B'!M:M)</f>
        <v/>
      </c>
      <c r="N178" s="4">
        <f>SUMIF('GSTR-2B'!$G:$G,$B178,'GSTR-2B'!N:N)</f>
        <v/>
      </c>
      <c r="O178" s="4">
        <f>SUMIF('GSTR-2B'!$G:$G,$B178,'GSTR-2B'!O:O)</f>
        <v/>
      </c>
      <c r="P178" t="n">
        <v>0</v>
      </c>
      <c r="Q178" s="4">
        <f>+E178-K178</f>
        <v/>
      </c>
      <c r="R178" s="4">
        <f>+F178-L178</f>
        <v/>
      </c>
      <c r="S178" s="4">
        <f>+G178-M178</f>
        <v/>
      </c>
      <c r="T178" s="4">
        <f>+H178-N178</f>
        <v/>
      </c>
      <c r="U178" s="4">
        <f>+I178-O178</f>
        <v/>
      </c>
      <c r="V178" t="n">
        <v>0</v>
      </c>
      <c r="W178">
        <f>VLOOKUP(A178,'GST Wise Reco'!$A$4:$T$30,20,0)</f>
        <v/>
      </c>
      <c r="X178" t="inlineStr">
        <is>
          <t>Book And 2B Match-Invocies No Mis-Match</t>
        </is>
      </c>
      <c r="Y178" s="5" t="inlineStr">
        <is>
          <t>Book And 2B Match</t>
        </is>
      </c>
    </row>
    <row r="179">
      <c r="A179" t="inlineStr">
        <is>
          <t>ABHCS5775R</t>
        </is>
      </c>
      <c r="B179" t="inlineStr">
        <is>
          <t>ABHCS5775R_STMPL/25-26/188</t>
        </is>
      </c>
      <c r="D179" t="n">
        <v>0</v>
      </c>
      <c r="E179" s="4">
        <f>SUMIF(Book!$G:$G,$B179,Book!J:J)</f>
        <v/>
      </c>
      <c r="F179" s="4">
        <f>SUMIF(Book!$G:$G,$B179,Book!L:L)</f>
        <v/>
      </c>
      <c r="G179" s="4">
        <f>SUMIF(Book!$G:$G,$B179,Book!M:M)</f>
        <v/>
      </c>
      <c r="H179" s="4">
        <f>SUMIF(Book!$G:$G,$B179,Book!N:N)</f>
        <v/>
      </c>
      <c r="I179" s="4">
        <f>SUMIF(Book!$G:$G,$B179,Book!O:O)</f>
        <v/>
      </c>
      <c r="J179" t="n">
        <v>0</v>
      </c>
      <c r="K179" s="4">
        <f>SUMIF('GSTR-2B'!$G:$G,$B179,'GSTR-2B'!J:J)</f>
        <v/>
      </c>
      <c r="L179" s="4">
        <f>SUMIF('GSTR-2B'!$G:$G,$B179,'GSTR-2B'!L:L)</f>
        <v/>
      </c>
      <c r="M179" s="4">
        <f>SUMIF('GSTR-2B'!$G:$G,$B179,'GSTR-2B'!M:M)</f>
        <v/>
      </c>
      <c r="N179" s="4">
        <f>SUMIF('GSTR-2B'!$G:$G,$B179,'GSTR-2B'!N:N)</f>
        <v/>
      </c>
      <c r="O179" s="4">
        <f>SUMIF('GSTR-2B'!$G:$G,$B179,'GSTR-2B'!O:O)</f>
        <v/>
      </c>
      <c r="P179" t="n">
        <v>0</v>
      </c>
      <c r="Q179" s="4">
        <f>+E179-K179</f>
        <v/>
      </c>
      <c r="R179" s="4">
        <f>+F179-L179</f>
        <v/>
      </c>
      <c r="S179" s="4">
        <f>+G179-M179</f>
        <v/>
      </c>
      <c r="T179" s="4">
        <f>+H179-N179</f>
        <v/>
      </c>
      <c r="U179" s="4">
        <f>+I179-O179</f>
        <v/>
      </c>
      <c r="V179" t="n">
        <v>0</v>
      </c>
      <c r="W179">
        <f>VLOOKUP(A179,'GST Wise Reco'!$A$4:$T$30,20,0)</f>
        <v/>
      </c>
      <c r="X179" t="inlineStr">
        <is>
          <t>Book And 2B Match-Invocies No Mis-Match</t>
        </is>
      </c>
      <c r="Y179" s="5" t="inlineStr">
        <is>
          <t>Book And 2B Match</t>
        </is>
      </c>
    </row>
    <row r="180">
      <c r="A180" t="inlineStr">
        <is>
          <t>ABHCS5775R</t>
        </is>
      </c>
      <c r="B180" t="inlineStr">
        <is>
          <t>ABHCS5775R_STMPL/25-26/189</t>
        </is>
      </c>
      <c r="D180" t="n">
        <v>0</v>
      </c>
      <c r="E180" s="4">
        <f>SUMIF(Book!$G:$G,$B180,Book!J:J)</f>
        <v/>
      </c>
      <c r="F180" s="4">
        <f>SUMIF(Book!$G:$G,$B180,Book!L:L)</f>
        <v/>
      </c>
      <c r="G180" s="4">
        <f>SUMIF(Book!$G:$G,$B180,Book!M:M)</f>
        <v/>
      </c>
      <c r="H180" s="4">
        <f>SUMIF(Book!$G:$G,$B180,Book!N:N)</f>
        <v/>
      </c>
      <c r="I180" s="4">
        <f>SUMIF(Book!$G:$G,$B180,Book!O:O)</f>
        <v/>
      </c>
      <c r="J180" t="n">
        <v>0</v>
      </c>
      <c r="K180" s="4">
        <f>SUMIF('GSTR-2B'!$G:$G,$B180,'GSTR-2B'!J:J)</f>
        <v/>
      </c>
      <c r="L180" s="4">
        <f>SUMIF('GSTR-2B'!$G:$G,$B180,'GSTR-2B'!L:L)</f>
        <v/>
      </c>
      <c r="M180" s="4">
        <f>SUMIF('GSTR-2B'!$G:$G,$B180,'GSTR-2B'!M:M)</f>
        <v/>
      </c>
      <c r="N180" s="4">
        <f>SUMIF('GSTR-2B'!$G:$G,$B180,'GSTR-2B'!N:N)</f>
        <v/>
      </c>
      <c r="O180" s="4">
        <f>SUMIF('GSTR-2B'!$G:$G,$B180,'GSTR-2B'!O:O)</f>
        <v/>
      </c>
      <c r="P180" t="n">
        <v>0</v>
      </c>
      <c r="Q180" s="4">
        <f>+E180-K180</f>
        <v/>
      </c>
      <c r="R180" s="4">
        <f>+F180-L180</f>
        <v/>
      </c>
      <c r="S180" s="4">
        <f>+G180-M180</f>
        <v/>
      </c>
      <c r="T180" s="4">
        <f>+H180-N180</f>
        <v/>
      </c>
      <c r="U180" s="4">
        <f>+I180-O180</f>
        <v/>
      </c>
      <c r="V180" t="n">
        <v>0</v>
      </c>
      <c r="W180">
        <f>VLOOKUP(A180,'GST Wise Reco'!$A$4:$T$30,20,0)</f>
        <v/>
      </c>
      <c r="X180" t="inlineStr">
        <is>
          <t>Book And 2B Match-Invocies No Mis-Match</t>
        </is>
      </c>
      <c r="Y180" s="5" t="inlineStr">
        <is>
          <t>Book And 2B Match</t>
        </is>
      </c>
    </row>
    <row r="181">
      <c r="A181" t="inlineStr">
        <is>
          <t>ABHCS5775R</t>
        </is>
      </c>
      <c r="B181" t="inlineStr">
        <is>
          <t>ABHCS5775R_STMPL/25-26/205</t>
        </is>
      </c>
      <c r="D181" t="n">
        <v>0</v>
      </c>
      <c r="E181" s="4">
        <f>SUMIF(Book!$G:$G,$B181,Book!J:J)</f>
        <v/>
      </c>
      <c r="F181" s="4">
        <f>SUMIF(Book!$G:$G,$B181,Book!L:L)</f>
        <v/>
      </c>
      <c r="G181" s="4">
        <f>SUMIF(Book!$G:$G,$B181,Book!M:M)</f>
        <v/>
      </c>
      <c r="H181" s="4">
        <f>SUMIF(Book!$G:$G,$B181,Book!N:N)</f>
        <v/>
      </c>
      <c r="I181" s="4">
        <f>SUMIF(Book!$G:$G,$B181,Book!O:O)</f>
        <v/>
      </c>
      <c r="J181" t="n">
        <v>0</v>
      </c>
      <c r="K181" s="4">
        <f>SUMIF('GSTR-2B'!$G:$G,$B181,'GSTR-2B'!J:J)</f>
        <v/>
      </c>
      <c r="L181" s="4">
        <f>SUMIF('GSTR-2B'!$G:$G,$B181,'GSTR-2B'!L:L)</f>
        <v/>
      </c>
      <c r="M181" s="4">
        <f>SUMIF('GSTR-2B'!$G:$G,$B181,'GSTR-2B'!M:M)</f>
        <v/>
      </c>
      <c r="N181" s="4">
        <f>SUMIF('GSTR-2B'!$G:$G,$B181,'GSTR-2B'!N:N)</f>
        <v/>
      </c>
      <c r="O181" s="4">
        <f>SUMIF('GSTR-2B'!$G:$G,$B181,'GSTR-2B'!O:O)</f>
        <v/>
      </c>
      <c r="P181" t="n">
        <v>0</v>
      </c>
      <c r="Q181" s="4">
        <f>+E181-K181</f>
        <v/>
      </c>
      <c r="R181" s="4">
        <f>+F181-L181</f>
        <v/>
      </c>
      <c r="S181" s="4">
        <f>+G181-M181</f>
        <v/>
      </c>
      <c r="T181" s="4">
        <f>+H181-N181</f>
        <v/>
      </c>
      <c r="U181" s="4">
        <f>+I181-O181</f>
        <v/>
      </c>
      <c r="V181" t="n">
        <v>0</v>
      </c>
      <c r="W181">
        <f>VLOOKUP(A181,'GST Wise Reco'!$A$4:$T$30,20,0)</f>
        <v/>
      </c>
      <c r="X181" t="inlineStr">
        <is>
          <t>Book And 2B Match</t>
        </is>
      </c>
      <c r="Y181" s="5" t="inlineStr">
        <is>
          <t>Book And 2B Match</t>
        </is>
      </c>
    </row>
    <row r="182">
      <c r="A182" t="inlineStr">
        <is>
          <t>BVDPM7213A</t>
        </is>
      </c>
      <c r="B182" t="inlineStr">
        <is>
          <t>BVDPM7213A_2020198</t>
        </is>
      </c>
      <c r="D182" t="n">
        <v>0</v>
      </c>
      <c r="E182" s="4">
        <f>SUMIF(Book!$G:$G,$B182,Book!J:J)</f>
        <v/>
      </c>
      <c r="F182" s="4">
        <f>SUMIF(Book!$G:$G,$B182,Book!L:L)</f>
        <v/>
      </c>
      <c r="G182" s="4">
        <f>SUMIF(Book!$G:$G,$B182,Book!M:M)</f>
        <v/>
      </c>
      <c r="H182" s="4">
        <f>SUMIF(Book!$G:$G,$B182,Book!N:N)</f>
        <v/>
      </c>
      <c r="I182" s="4">
        <f>SUMIF(Book!$G:$G,$B182,Book!O:O)</f>
        <v/>
      </c>
      <c r="J182" t="n">
        <v>0</v>
      </c>
      <c r="K182" s="4">
        <f>SUMIF('GSTR-2B'!$G:$G,$B182,'GSTR-2B'!J:J)</f>
        <v/>
      </c>
      <c r="L182" s="4">
        <f>SUMIF('GSTR-2B'!$G:$G,$B182,'GSTR-2B'!L:L)</f>
        <v/>
      </c>
      <c r="M182" s="4">
        <f>SUMIF('GSTR-2B'!$G:$G,$B182,'GSTR-2B'!M:M)</f>
        <v/>
      </c>
      <c r="N182" s="4">
        <f>SUMIF('GSTR-2B'!$G:$G,$B182,'GSTR-2B'!N:N)</f>
        <v/>
      </c>
      <c r="O182" s="4">
        <f>SUMIF('GSTR-2B'!$G:$G,$B182,'GSTR-2B'!O:O)</f>
        <v/>
      </c>
      <c r="P182" t="n">
        <v>0</v>
      </c>
      <c r="Q182" s="4">
        <f>+E182-K182</f>
        <v/>
      </c>
      <c r="R182" s="4">
        <f>+F182-L182</f>
        <v/>
      </c>
      <c r="S182" s="4">
        <f>+G182-M182</f>
        <v/>
      </c>
      <c r="T182" s="4">
        <f>+H182-N182</f>
        <v/>
      </c>
      <c r="U182" s="4">
        <f>+I182-O182</f>
        <v/>
      </c>
      <c r="V182" t="n">
        <v>0</v>
      </c>
      <c r="W182">
        <f>VLOOKUP(A182,'GST Wise Reco'!$A$4:$T$30,20,0)</f>
        <v/>
      </c>
      <c r="X182" t="inlineStr">
        <is>
          <t xml:space="preserve">Only for the 2B </t>
        </is>
      </c>
      <c r="Y182" s="6" t="inlineStr">
        <is>
          <t xml:space="preserve">Only for the 2B </t>
        </is>
      </c>
    </row>
    <row r="183"/>
    <row r="184">
      <c r="B184" s="1" t="inlineStr">
        <is>
          <t>Grand Total</t>
        </is>
      </c>
      <c r="E184" s="2">
        <f>SUM(E5:E182)</f>
        <v/>
      </c>
      <c r="F184" s="2">
        <f>SUM(F5:F182)</f>
        <v/>
      </c>
      <c r="G184" s="2">
        <f>SUM(G5:G182)</f>
        <v/>
      </c>
      <c r="H184" s="2">
        <f>SUM(H5:H182)</f>
        <v/>
      </c>
      <c r="I184" s="2">
        <f>SUM(I5:I182)</f>
        <v/>
      </c>
      <c r="K184" s="2">
        <f>SUM(K5:K182)</f>
        <v/>
      </c>
      <c r="L184" s="2">
        <f>SUM(L5:L182)</f>
        <v/>
      </c>
      <c r="M184" s="2">
        <f>SUM(M5:M182)</f>
        <v/>
      </c>
      <c r="N184" s="2">
        <f>SUM(N5:N182)</f>
        <v/>
      </c>
      <c r="O184" s="2">
        <f>SUM(O5:O182)</f>
        <v/>
      </c>
      <c r="Q184" s="2">
        <f>SUM(Q5:Q182)</f>
        <v/>
      </c>
      <c r="R184" s="2">
        <f>SUM(R5:R182)</f>
        <v/>
      </c>
      <c r="S184" s="2">
        <f>SUM(S5:S182)</f>
        <v/>
      </c>
      <c r="T184" s="2">
        <f>SUM(T5:T182)</f>
        <v/>
      </c>
      <c r="U184" s="2">
        <f>SUM(U5:U182)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15" customWidth="1" min="4" max="4"/>
    <col width="17" customWidth="1" min="5" max="5"/>
    <col width="18" customWidth="1" min="6" max="6"/>
    <col width="29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L1" s="1">
        <f>SUM(L4:L164)</f>
        <v/>
      </c>
      <c r="M1" s="1">
        <f>SUM(M4:M164)</f>
        <v/>
      </c>
      <c r="N1" s="1">
        <f>SUM(N4:N164)</f>
        <v/>
      </c>
    </row>
    <row r="2"/>
    <row r="3">
      <c r="A3" s="3" t="inlineStr">
        <is>
          <t>Period</t>
        </is>
      </c>
      <c r="B3" s="3" t="inlineStr">
        <is>
          <t>Trade/Legal name</t>
        </is>
      </c>
      <c r="C3" s="3" t="inlineStr">
        <is>
          <t>GSTIN/PAN</t>
        </is>
      </c>
      <c r="D3" s="3" t="inlineStr">
        <is>
          <t>Invoice Type</t>
        </is>
      </c>
      <c r="E3" s="3" t="inlineStr">
        <is>
          <t>Reverse Charge</t>
        </is>
      </c>
      <c r="F3" s="3" t="inlineStr">
        <is>
          <t>Invoice No</t>
        </is>
      </c>
      <c r="G3" s="3" t="inlineStr">
        <is>
          <t>Key</t>
        </is>
      </c>
      <c r="H3" s="3" t="inlineStr">
        <is>
          <t>Invoice Date</t>
        </is>
      </c>
      <c r="I3" s="3" t="inlineStr">
        <is>
          <t>Invoice Value</t>
        </is>
      </c>
      <c r="J3" s="3" t="inlineStr">
        <is>
          <t>Taxable Value</t>
        </is>
      </c>
      <c r="K3" s="3" t="inlineStr">
        <is>
          <t>Tax Rate</t>
        </is>
      </c>
      <c r="L3" s="3" t="inlineStr">
        <is>
          <t>IGST</t>
        </is>
      </c>
      <c r="M3" s="3" t="inlineStr">
        <is>
          <t>CGST</t>
        </is>
      </c>
      <c r="N3" s="3" t="inlineStr">
        <is>
          <t>SGST</t>
        </is>
      </c>
      <c r="O3" s="3" t="inlineStr">
        <is>
          <t>Cess</t>
        </is>
      </c>
      <c r="P3" s="3" t="inlineStr">
        <is>
          <t xml:space="preserve">Final Remarks </t>
        </is>
      </c>
    </row>
    <row r="4">
      <c r="A4" t="inlineStr">
        <is>
          <t>August,2025</t>
        </is>
      </c>
      <c r="B4" t="inlineStr">
        <is>
          <t>AVRIO MOBILITY PRIVATE LIMITED</t>
        </is>
      </c>
      <c r="C4" t="inlineStr">
        <is>
          <t>27AASCA5981H1Z2</t>
        </is>
      </c>
      <c r="D4" t="inlineStr">
        <is>
          <t>Regular</t>
        </is>
      </c>
      <c r="E4" t="inlineStr">
        <is>
          <t>No</t>
        </is>
      </c>
      <c r="F4" t="inlineStr">
        <is>
          <t>AV1001/25-26/01</t>
        </is>
      </c>
      <c r="G4" t="inlineStr">
        <is>
          <t>AASCA5981H_AV1001/25-26/01</t>
        </is>
      </c>
      <c r="H4" s="7" t="n">
        <v>45870</v>
      </c>
      <c r="I4" s="4" t="n">
        <v>3984251.23</v>
      </c>
      <c r="J4" s="4" t="n">
        <v>3376484.09</v>
      </c>
      <c r="K4" t="n">
        <v>0</v>
      </c>
      <c r="L4" s="4" t="n">
        <v>0</v>
      </c>
      <c r="M4" s="4" t="n">
        <v>303883.57</v>
      </c>
      <c r="N4" s="4" t="n">
        <v>303883.57</v>
      </c>
      <c r="O4" s="4" t="n">
        <v>0</v>
      </c>
      <c r="P4">
        <f>VLOOKUP(G4,'GST + Invocie No'!$B$5:$Y$183,24,0)</f>
        <v/>
      </c>
    </row>
    <row r="5">
      <c r="A5" t="inlineStr">
        <is>
          <t>00</t>
        </is>
      </c>
      <c r="B5" t="inlineStr">
        <is>
          <t>BDS SERVICES PRIVATE LIMITED</t>
        </is>
      </c>
      <c r="C5" t="inlineStr">
        <is>
          <t>27AAGCB5066J1ZG</t>
        </is>
      </c>
      <c r="D5" t="inlineStr">
        <is>
          <t>Regular</t>
        </is>
      </c>
      <c r="E5" t="inlineStr">
        <is>
          <t>No</t>
        </is>
      </c>
      <c r="F5" t="inlineStr">
        <is>
          <t>TXN/25-26/1136</t>
        </is>
      </c>
      <c r="G5" t="inlineStr">
        <is>
          <t>AAGCB5066J_TXN/25-26/1136</t>
        </is>
      </c>
      <c r="H5" s="7" t="n">
        <v>46106</v>
      </c>
      <c r="I5" s="4" t="n">
        <v>42120</v>
      </c>
      <c r="J5" s="4" t="n">
        <v>35695</v>
      </c>
      <c r="K5" t="n">
        <v>0</v>
      </c>
      <c r="L5" s="4" t="n">
        <v>0</v>
      </c>
      <c r="M5" s="4" t="n">
        <v>3212.55</v>
      </c>
      <c r="N5" s="4" t="n">
        <v>3212.55</v>
      </c>
      <c r="O5" s="4" t="n">
        <v>0</v>
      </c>
      <c r="P5">
        <f>VLOOKUP(G5,'GST + Invocie No'!$B$5:$Y$183,24,0)</f>
        <v/>
      </c>
    </row>
    <row r="6">
      <c r="A6" t="inlineStr">
        <is>
          <t>April,2025</t>
        </is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Regular</t>
        </is>
      </c>
      <c r="E6" t="inlineStr">
        <is>
          <t>No</t>
        </is>
      </c>
      <c r="F6" t="inlineStr">
        <is>
          <t>BMPL0036</t>
        </is>
      </c>
      <c r="G6" t="inlineStr">
        <is>
          <t>AALCB9501D_BMPL0036</t>
        </is>
      </c>
      <c r="H6" s="7" t="n">
        <v>45753</v>
      </c>
      <c r="I6" s="4" t="n">
        <v>2057423</v>
      </c>
      <c r="J6" s="4" t="n">
        <v>1743578.96</v>
      </c>
      <c r="K6" t="n">
        <v>0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t="inlineStr">
        <is>
          <t>May,2025</t>
        </is>
      </c>
      <c r="B7" t="inlineStr">
        <is>
          <t>BLUE MESSAGGIO PRIVATE LIMITED</t>
        </is>
      </c>
      <c r="C7" t="inlineStr">
        <is>
          <t>27AALCB9501D1ZS</t>
        </is>
      </c>
      <c r="D7" t="inlineStr">
        <is>
          <t>Regular</t>
        </is>
      </c>
      <c r="E7" t="inlineStr">
        <is>
          <t>No</t>
        </is>
      </c>
      <c r="F7" t="inlineStr">
        <is>
          <t>BMPL0046</t>
        </is>
      </c>
      <c r="G7" t="inlineStr">
        <is>
          <t>AALCB9501D_BMPL0046</t>
        </is>
      </c>
      <c r="H7" s="7" t="n">
        <v>45778</v>
      </c>
      <c r="I7" s="4" t="n">
        <v>3099838.9</v>
      </c>
      <c r="J7" s="4" t="n">
        <v>2626982.12</v>
      </c>
      <c r="K7" t="n">
        <v>0</v>
      </c>
      <c r="L7" s="4" t="n">
        <v>0</v>
      </c>
      <c r="M7" s="4" t="n">
        <v>236428.39</v>
      </c>
      <c r="N7" s="4" t="n">
        <v>236428.39</v>
      </c>
      <c r="O7" s="4" t="n">
        <v>0</v>
      </c>
      <c r="P7">
        <f>VLOOKUP(G7,'GST + Invocie No'!$B$5:$Y$183,24,0)</f>
        <v/>
      </c>
    </row>
    <row r="8">
      <c r="A8" t="inlineStr">
        <is>
          <t>June,2025</t>
        </is>
      </c>
      <c r="B8" t="inlineStr">
        <is>
          <t>BLUE MESSAGGIO PRIVATE LIMITED</t>
        </is>
      </c>
      <c r="C8" t="inlineStr">
        <is>
          <t>27AALCB9501D1ZS</t>
        </is>
      </c>
      <c r="D8" t="inlineStr">
        <is>
          <t>Regular</t>
        </is>
      </c>
      <c r="E8" t="inlineStr">
        <is>
          <t>No</t>
        </is>
      </c>
      <c r="F8" t="inlineStr">
        <is>
          <t>BMPL0060</t>
        </is>
      </c>
      <c r="G8" t="inlineStr">
        <is>
          <t>AALCB9501D_BMPL0060</t>
        </is>
      </c>
      <c r="H8" s="7" t="n">
        <v>45813</v>
      </c>
      <c r="I8" s="4" t="n">
        <v>1236941.6</v>
      </c>
      <c r="J8" s="4" t="n">
        <v>1048255.59</v>
      </c>
      <c r="K8" t="n">
        <v>0</v>
      </c>
      <c r="L8" s="4" t="n">
        <v>0</v>
      </c>
      <c r="M8" s="4" t="n">
        <v>94343</v>
      </c>
      <c r="N8" s="4" t="n">
        <v>94343</v>
      </c>
      <c r="O8" s="4" t="n">
        <v>0</v>
      </c>
      <c r="P8">
        <f>VLOOKUP(G8,'GST + Invocie No'!$B$5:$Y$183,24,0)</f>
        <v/>
      </c>
    </row>
    <row r="9">
      <c r="A9" t="inlineStr">
        <is>
          <t>July,2025</t>
        </is>
      </c>
      <c r="B9" t="inlineStr">
        <is>
          <t>BLUE MESSAGGIO PRIVATE LIMITED</t>
        </is>
      </c>
      <c r="C9" t="inlineStr">
        <is>
          <t>27AALCB9501D1ZS</t>
        </is>
      </c>
      <c r="D9" t="inlineStr">
        <is>
          <t>Regular</t>
        </is>
      </c>
      <c r="E9" t="inlineStr">
        <is>
          <t>No</t>
        </is>
      </c>
      <c r="F9" t="inlineStr">
        <is>
          <t>BMPL0068</t>
        </is>
      </c>
      <c r="G9" t="inlineStr">
        <is>
          <t>AALCB9501D_BMPL0068</t>
        </is>
      </c>
      <c r="H9" s="7" t="n">
        <v>45843</v>
      </c>
      <c r="I9" s="4" t="n">
        <v>1750129.98</v>
      </c>
      <c r="J9" s="4" t="n">
        <v>1483161</v>
      </c>
      <c r="K9" t="n">
        <v>0</v>
      </c>
      <c r="L9" s="4" t="n">
        <v>0</v>
      </c>
      <c r="M9" s="4" t="n">
        <v>133484.49</v>
      </c>
      <c r="N9" s="4" t="n">
        <v>133484.49</v>
      </c>
      <c r="O9" s="4" t="n">
        <v>0</v>
      </c>
      <c r="P9">
        <f>VLOOKUP(G9,'GST + Invocie No'!$B$5:$Y$183,24,0)</f>
        <v/>
      </c>
    </row>
    <row r="10">
      <c r="A10" t="inlineStr">
        <is>
          <t>August,2025</t>
        </is>
      </c>
      <c r="B10" t="inlineStr">
        <is>
          <t>BLUE MESSAGGIO PRIVATE LIMITED</t>
        </is>
      </c>
      <c r="C10" t="inlineStr">
        <is>
          <t>27AALCB9501D1ZS</t>
        </is>
      </c>
      <c r="D10" t="inlineStr">
        <is>
          <t>Regular</t>
        </is>
      </c>
      <c r="E10" t="inlineStr">
        <is>
          <t>No</t>
        </is>
      </c>
      <c r="F10" t="inlineStr">
        <is>
          <t>BMPL0077</t>
        </is>
      </c>
      <c r="G10" t="inlineStr">
        <is>
          <t>AALCB9501D_BMPL0077</t>
        </is>
      </c>
      <c r="H10" s="7" t="n">
        <v>45870</v>
      </c>
      <c r="I10" s="4" t="n">
        <v>489524.53</v>
      </c>
      <c r="J10" s="4" t="n">
        <v>414851.3</v>
      </c>
      <c r="K10" t="n">
        <v>0</v>
      </c>
      <c r="L10" s="4" t="n">
        <v>0</v>
      </c>
      <c r="M10" s="4" t="n">
        <v>37336.62</v>
      </c>
      <c r="N10" s="4" t="n">
        <v>37336.62</v>
      </c>
      <c r="O10" s="4" t="n">
        <v>0</v>
      </c>
      <c r="P10">
        <f>VLOOKUP(G10,'GST + Invocie No'!$B$5:$Y$183,24,0)</f>
        <v/>
      </c>
    </row>
    <row r="11">
      <c r="A11" t="inlineStr">
        <is>
          <t>September,2025</t>
        </is>
      </c>
      <c r="B11" t="inlineStr">
        <is>
          <t>BLUE MESSAGGIO PRIVATE LIMITED</t>
        </is>
      </c>
      <c r="C11" t="inlineStr">
        <is>
          <t>27AALCB9501D1ZS</t>
        </is>
      </c>
      <c r="D11" t="inlineStr">
        <is>
          <t>Regular</t>
        </is>
      </c>
      <c r="E11" t="inlineStr">
        <is>
          <t>No</t>
        </is>
      </c>
      <c r="F11" t="inlineStr">
        <is>
          <t>BMPL0090</t>
        </is>
      </c>
      <c r="G11" t="inlineStr">
        <is>
          <t>AALCB9501D_BMPL0090</t>
        </is>
      </c>
      <c r="H11" s="7" t="n">
        <v>45906</v>
      </c>
      <c r="I11" s="4" t="n">
        <v>64873.96</v>
      </c>
      <c r="J11" s="4" t="n">
        <v>54977.93</v>
      </c>
      <c r="K11" t="n">
        <v>0</v>
      </c>
      <c r="L11" s="4" t="n">
        <v>0</v>
      </c>
      <c r="M11" s="4" t="n">
        <v>4948.01</v>
      </c>
      <c r="N11" s="4" t="n">
        <v>4948.01</v>
      </c>
      <c r="O11" s="4" t="n">
        <v>0</v>
      </c>
      <c r="P11">
        <f>VLOOKUP(G11,'GST + Invocie No'!$B$5:$Y$183,24,0)</f>
        <v/>
      </c>
    </row>
    <row r="12">
      <c r="A12" t="inlineStr">
        <is>
          <t>October,2025</t>
        </is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Regular</t>
        </is>
      </c>
      <c r="E12" t="inlineStr">
        <is>
          <t>No</t>
        </is>
      </c>
      <c r="F12" t="inlineStr">
        <is>
          <t>BMPL0099</t>
        </is>
      </c>
      <c r="G12" t="inlineStr">
        <is>
          <t>AALCB9501D_BMPL0099</t>
        </is>
      </c>
      <c r="H12" s="7" t="n">
        <v>45932</v>
      </c>
      <c r="I12" s="4" t="n">
        <v>1854395</v>
      </c>
      <c r="J12" s="4" t="n">
        <v>1571521.28</v>
      </c>
      <c r="K12" t="n">
        <v>0</v>
      </c>
      <c r="L12" s="4" t="n">
        <v>0</v>
      </c>
      <c r="M12" s="4" t="n">
        <v>141436.92</v>
      </c>
      <c r="N12" s="4" t="n">
        <v>141436.92</v>
      </c>
      <c r="O12" s="4" t="n">
        <v>0</v>
      </c>
      <c r="P12">
        <f>VLOOKUP(G12,'GST + Invocie No'!$B$5:$Y$183,24,0)</f>
        <v/>
      </c>
    </row>
    <row r="13">
      <c r="A13" t="inlineStr">
        <is>
          <t>November,2025</t>
        </is>
      </c>
      <c r="B13" t="inlineStr">
        <is>
          <t>BLUE MESSAGGIO PRIVATE LIMITED</t>
        </is>
      </c>
      <c r="C13" t="inlineStr">
        <is>
          <t>27AALCB9501D1ZS</t>
        </is>
      </c>
      <c r="D13" t="inlineStr">
        <is>
          <t>Regular</t>
        </is>
      </c>
      <c r="E13" t="inlineStr">
        <is>
          <t>No</t>
        </is>
      </c>
      <c r="F13" t="inlineStr">
        <is>
          <t>BMPL0109</t>
        </is>
      </c>
      <c r="G13" t="inlineStr">
        <is>
          <t>AALCB9501D_BMPL0109</t>
        </is>
      </c>
      <c r="H13" s="7" t="n">
        <v>45964</v>
      </c>
      <c r="I13" s="4" t="n">
        <v>2271965</v>
      </c>
      <c r="J13" s="4" t="n">
        <v>1925394.33</v>
      </c>
      <c r="K13" t="n">
        <v>0</v>
      </c>
      <c r="L13" s="4" t="n">
        <v>0</v>
      </c>
      <c r="M13" s="4" t="n">
        <v>173285.49</v>
      </c>
      <c r="N13" s="4" t="n">
        <v>173285.49</v>
      </c>
      <c r="O13" s="4" t="n">
        <v>0</v>
      </c>
      <c r="P13">
        <f>VLOOKUP(G13,'GST + Invocie No'!$B$5:$Y$183,24,0)</f>
        <v/>
      </c>
    </row>
    <row r="14">
      <c r="A14" t="inlineStr">
        <is>
          <t>December,2025</t>
        </is>
      </c>
      <c r="B14" t="inlineStr">
        <is>
          <t>BLUE MESSAGGIO PRIVATE LIMITED</t>
        </is>
      </c>
      <c r="C14" t="inlineStr">
        <is>
          <t>27AALCB9501D1ZS</t>
        </is>
      </c>
      <c r="D14" t="inlineStr">
        <is>
          <t>Regular</t>
        </is>
      </c>
      <c r="E14" t="inlineStr">
        <is>
          <t>No</t>
        </is>
      </c>
      <c r="F14" t="inlineStr">
        <is>
          <t>BMPL0121</t>
        </is>
      </c>
      <c r="G14" t="inlineStr">
        <is>
          <t>AALCB9501D_BMPL0121</t>
        </is>
      </c>
      <c r="H14" s="7" t="n">
        <v>45997</v>
      </c>
      <c r="I14" s="4" t="n">
        <v>1184700</v>
      </c>
      <c r="J14" s="4" t="n">
        <v>1003983.25</v>
      </c>
      <c r="K14" t="n">
        <v>0</v>
      </c>
      <c r="L14" s="4" t="n">
        <v>0</v>
      </c>
      <c r="M14" s="4" t="n">
        <v>90358.49000000001</v>
      </c>
      <c r="N14" s="4" t="n">
        <v>90358.49000000001</v>
      </c>
      <c r="O14" s="4" t="n">
        <v>0</v>
      </c>
      <c r="P14">
        <f>VLOOKUP(G14,'GST + Invocie No'!$B$5:$Y$183,24,0)</f>
        <v/>
      </c>
    </row>
    <row r="15">
      <c r="A15" t="inlineStr">
        <is>
          <t>January,2026</t>
        </is>
      </c>
      <c r="B15" t="inlineStr">
        <is>
          <t>BLUE MESSAGGIO PRIVATE LIMITED</t>
        </is>
      </c>
      <c r="C15" t="inlineStr">
        <is>
          <t>27AALCB9501D1ZS</t>
        </is>
      </c>
      <c r="D15" t="inlineStr">
        <is>
          <t>Regular</t>
        </is>
      </c>
      <c r="E15" t="inlineStr">
        <is>
          <t>No</t>
        </is>
      </c>
      <c r="F15" t="inlineStr">
        <is>
          <t>BMPL0145</t>
        </is>
      </c>
      <c r="G15" t="inlineStr">
        <is>
          <t>AALCB9501D_BMPL0145</t>
        </is>
      </c>
      <c r="H15" s="7" t="n">
        <v>46025</v>
      </c>
      <c r="I15" s="4" t="n">
        <v>2610857</v>
      </c>
      <c r="J15" s="4" t="n">
        <v>2212590.45</v>
      </c>
      <c r="K15" t="n">
        <v>0</v>
      </c>
      <c r="L15" s="4" t="n">
        <v>0</v>
      </c>
      <c r="M15" s="4" t="n">
        <v>199133.14</v>
      </c>
      <c r="N15" s="4" t="n">
        <v>199133.14</v>
      </c>
      <c r="O15" s="4" t="n">
        <v>0</v>
      </c>
      <c r="P15">
        <f>VLOOKUP(G15,'GST + Invocie No'!$B$5:$Y$183,24,0)</f>
        <v/>
      </c>
    </row>
    <row r="16">
      <c r="A16" t="inlineStr">
        <is>
          <t>February,2026</t>
        </is>
      </c>
      <c r="B16" t="inlineStr">
        <is>
          <t>BLUE MESSAGGIO PRIVATE LIMITED</t>
        </is>
      </c>
      <c r="C16" t="inlineStr">
        <is>
          <t>27AALCB9501D1ZS</t>
        </is>
      </c>
      <c r="D16" t="inlineStr">
        <is>
          <t>Regular</t>
        </is>
      </c>
      <c r="E16" t="inlineStr">
        <is>
          <t>No</t>
        </is>
      </c>
      <c r="F16" t="inlineStr">
        <is>
          <t>BMPL0168</t>
        </is>
      </c>
      <c r="G16" t="inlineStr">
        <is>
          <t>AALCB9501D_BMPL0168</t>
        </is>
      </c>
      <c r="H16" s="7" t="n">
        <v>46055</v>
      </c>
      <c r="I16" s="4" t="n">
        <v>1700243.76</v>
      </c>
      <c r="J16" s="4" t="n">
        <v>1700243.76</v>
      </c>
      <c r="K16" t="n">
        <v>0</v>
      </c>
      <c r="L16" s="4" t="n">
        <v>0</v>
      </c>
      <c r="M16" s="4" t="n">
        <v>153021.94</v>
      </c>
      <c r="N16" s="4" t="n">
        <v>153021.94</v>
      </c>
      <c r="O16" s="4" t="n">
        <v>0</v>
      </c>
      <c r="P16">
        <f>VLOOKUP(G16,'GST + Invocie No'!$B$5:$Y$183,24,0)</f>
        <v/>
      </c>
    </row>
    <row r="17">
      <c r="A17" t="inlineStr">
        <is>
          <t>March,2026</t>
        </is>
      </c>
      <c r="B17" t="inlineStr">
        <is>
          <t>BLUE MESSAGGIO PRIVATE LIMITED</t>
        </is>
      </c>
      <c r="C17" t="inlineStr">
        <is>
          <t>27AALCB9501D1ZS</t>
        </is>
      </c>
      <c r="D17" t="inlineStr">
        <is>
          <t>Regular</t>
        </is>
      </c>
      <c r="E17" t="inlineStr">
        <is>
          <t>No</t>
        </is>
      </c>
      <c r="F17" t="inlineStr">
        <is>
          <t>BMPL0195</t>
        </is>
      </c>
      <c r="G17" t="inlineStr">
        <is>
          <t>AALCB9501D_BMPL0195</t>
        </is>
      </c>
      <c r="H17" s="7" t="n">
        <v>46083</v>
      </c>
      <c r="I17" s="4" t="n">
        <v>2944360</v>
      </c>
      <c r="J17" s="4" t="n">
        <v>2495220.47</v>
      </c>
      <c r="K17" t="n">
        <v>0</v>
      </c>
      <c r="L17" s="4" t="n">
        <v>0</v>
      </c>
      <c r="M17" s="4" t="n">
        <v>224569.84</v>
      </c>
      <c r="N17" s="4" t="n">
        <v>224569.84</v>
      </c>
      <c r="O17" s="4" t="n">
        <v>0</v>
      </c>
      <c r="P17">
        <f>VLOOKUP(G17,'GST + Invocie No'!$B$5:$Y$183,24,0)</f>
        <v/>
      </c>
    </row>
    <row r="18">
      <c r="A18" t="inlineStr">
        <is>
          <t>September,2025</t>
        </is>
      </c>
      <c r="B18" t="inlineStr">
        <is>
          <t>CENTRAL DEPOSITORY SERVICES (INDIA) LIMITED</t>
        </is>
      </c>
      <c r="C18" t="inlineStr">
        <is>
          <t>27AAACC6233A1Z9</t>
        </is>
      </c>
      <c r="D18" t="inlineStr">
        <is>
          <t>Regular</t>
        </is>
      </c>
      <c r="E18" t="inlineStr">
        <is>
          <t>No</t>
        </is>
      </c>
      <c r="F18" t="inlineStr">
        <is>
          <t>420252026120907</t>
        </is>
      </c>
      <c r="G18" t="inlineStr">
        <is>
          <t>AAACC6233A_420252026120907</t>
        </is>
      </c>
      <c r="H18" s="7" t="n">
        <v>45930</v>
      </c>
      <c r="I18" s="4" t="n">
        <v>21141.67</v>
      </c>
      <c r="J18" s="4" t="n">
        <v>17916.67</v>
      </c>
      <c r="K18" t="n">
        <v>0</v>
      </c>
      <c r="L18" s="4" t="n">
        <v>0</v>
      </c>
      <c r="M18" s="4" t="n">
        <v>1612.5</v>
      </c>
      <c r="N18" s="4" t="n">
        <v>1612.5</v>
      </c>
      <c r="O18" s="4" t="n">
        <v>0</v>
      </c>
      <c r="P18">
        <f>VLOOKUP(G18,'GST + Invocie No'!$B$5:$Y$183,24,0)</f>
        <v/>
      </c>
    </row>
    <row r="19">
      <c r="A19" t="inlineStr">
        <is>
          <t>April,2025</t>
        </is>
      </c>
      <c r="B19" t="inlineStr">
        <is>
          <t>DOVE SOFT PRIVATE LIMITED</t>
        </is>
      </c>
      <c r="C19" t="inlineStr">
        <is>
          <t>27AADCD9460D1ZO</t>
        </is>
      </c>
      <c r="D19" t="inlineStr">
        <is>
          <t>Regular</t>
        </is>
      </c>
      <c r="E19" t="inlineStr">
        <is>
          <t>No</t>
        </is>
      </c>
      <c r="F19" t="inlineStr">
        <is>
          <t>25-26/4/214</t>
        </is>
      </c>
      <c r="G19" t="inlineStr">
        <is>
          <t>AADCD9460D_25-26/4/214</t>
        </is>
      </c>
      <c r="H19" s="7" t="n">
        <v>45777</v>
      </c>
      <c r="I19" s="4" t="n">
        <v>11800</v>
      </c>
      <c r="J19" s="4" t="n">
        <v>10000</v>
      </c>
      <c r="K19" t="n">
        <v>0</v>
      </c>
      <c r="L19" s="4" t="n">
        <v>0</v>
      </c>
      <c r="M19" s="4" t="n">
        <v>900</v>
      </c>
      <c r="N19" s="4" t="n">
        <v>900</v>
      </c>
      <c r="O19" s="4" t="n">
        <v>0</v>
      </c>
      <c r="P19">
        <f>VLOOKUP(G19,'GST + Invocie No'!$B$5:$Y$183,24,0)</f>
        <v/>
      </c>
    </row>
    <row r="20">
      <c r="A20" t="inlineStr">
        <is>
          <t>May,2025</t>
        </is>
      </c>
      <c r="B20" t="inlineStr">
        <is>
          <t>DOVE SOFT PRIVATE LIMITED</t>
        </is>
      </c>
      <c r="C20" t="inlineStr">
        <is>
          <t>27AADCD9460D1ZO</t>
        </is>
      </c>
      <c r="D20" t="inlineStr">
        <is>
          <t>Regular</t>
        </is>
      </c>
      <c r="E20" t="inlineStr">
        <is>
          <t>No</t>
        </is>
      </c>
      <c r="F20" t="inlineStr">
        <is>
          <t>25-26/5/206</t>
        </is>
      </c>
      <c r="G20" t="inlineStr">
        <is>
          <t>AADCD9460D_25-26/5/206</t>
        </is>
      </c>
      <c r="H20" s="7" t="n">
        <v>45808</v>
      </c>
      <c r="I20" s="4" t="n">
        <v>11800</v>
      </c>
      <c r="J20" s="4" t="n">
        <v>10000</v>
      </c>
      <c r="K20" t="n">
        <v>0</v>
      </c>
      <c r="L20" s="4" t="n">
        <v>0</v>
      </c>
      <c r="M20" s="4" t="n">
        <v>900</v>
      </c>
      <c r="N20" s="4" t="n">
        <v>900</v>
      </c>
      <c r="O20" s="4" t="n">
        <v>0</v>
      </c>
      <c r="P20">
        <f>VLOOKUP(G20,'GST + Invocie No'!$B$5:$Y$183,24,0)</f>
        <v/>
      </c>
    </row>
    <row r="21">
      <c r="A21" t="inlineStr">
        <is>
          <t>June,2025</t>
        </is>
      </c>
      <c r="B21" t="inlineStr">
        <is>
          <t>DOVE SOFT PRIVATE LIMITED</t>
        </is>
      </c>
      <c r="C21" t="inlineStr">
        <is>
          <t>27AADCD9460D1ZO</t>
        </is>
      </c>
      <c r="D21" t="inlineStr">
        <is>
          <t>Regular</t>
        </is>
      </c>
      <c r="E21" t="inlineStr">
        <is>
          <t>No</t>
        </is>
      </c>
      <c r="F21" t="inlineStr">
        <is>
          <t>25-26/6/178</t>
        </is>
      </c>
      <c r="G21" t="inlineStr">
        <is>
          <t>AADCD9460D_25-26/6/178</t>
        </is>
      </c>
      <c r="H21" s="7" t="n">
        <v>45838</v>
      </c>
      <c r="I21" s="4" t="n">
        <v>11800</v>
      </c>
      <c r="J21" s="4" t="n">
        <v>10000</v>
      </c>
      <c r="K21" t="n">
        <v>0</v>
      </c>
      <c r="L21" s="4" t="n">
        <v>0</v>
      </c>
      <c r="M21" s="4" t="n">
        <v>900</v>
      </c>
      <c r="N21" s="4" t="n">
        <v>900</v>
      </c>
      <c r="O21" s="4" t="n">
        <v>0</v>
      </c>
      <c r="P21">
        <f>VLOOKUP(G21,'GST + Invocie No'!$B$5:$Y$183,24,0)</f>
        <v/>
      </c>
    </row>
    <row r="22">
      <c r="A22" t="inlineStr">
        <is>
          <t>July,2025</t>
        </is>
      </c>
      <c r="B22" t="inlineStr">
        <is>
          <t>DOVE SOFT PRIVATE LIMITED</t>
        </is>
      </c>
      <c r="C22" t="inlineStr">
        <is>
          <t>27AADCD9460D1ZO</t>
        </is>
      </c>
      <c r="D22" t="inlineStr">
        <is>
          <t>Regular</t>
        </is>
      </c>
      <c r="E22" t="inlineStr">
        <is>
          <t>No</t>
        </is>
      </c>
      <c r="F22" t="inlineStr">
        <is>
          <t>25-26/7/227</t>
        </is>
      </c>
      <c r="G22" t="inlineStr">
        <is>
          <t>AADCD9460D_25-26/7/227</t>
        </is>
      </c>
      <c r="H22" s="7" t="n">
        <v>45869</v>
      </c>
      <c r="I22" s="4" t="n">
        <v>11800</v>
      </c>
      <c r="J22" s="4" t="n">
        <v>10000</v>
      </c>
      <c r="K22" t="n">
        <v>0</v>
      </c>
      <c r="L22" s="4" t="n">
        <v>0</v>
      </c>
      <c r="M22" s="4" t="n">
        <v>900</v>
      </c>
      <c r="N22" s="4" t="n">
        <v>900</v>
      </c>
      <c r="O22" s="4" t="n">
        <v>0</v>
      </c>
      <c r="P22">
        <f>VLOOKUP(G22,'GST + Invocie No'!$B$5:$Y$183,24,0)</f>
        <v/>
      </c>
    </row>
    <row r="23">
      <c r="A23" t="inlineStr">
        <is>
          <t>August,2025</t>
        </is>
      </c>
      <c r="B23" t="inlineStr">
        <is>
          <t>DOVE SOFT PRIVATE LIMITED</t>
        </is>
      </c>
      <c r="C23" t="inlineStr">
        <is>
          <t>27AADCD9460D1ZO</t>
        </is>
      </c>
      <c r="D23" t="inlineStr">
        <is>
          <t>Regular</t>
        </is>
      </c>
      <c r="E23" t="inlineStr">
        <is>
          <t>No</t>
        </is>
      </c>
      <c r="F23" t="inlineStr">
        <is>
          <t>25-26/8/247</t>
        </is>
      </c>
      <c r="G23" t="inlineStr">
        <is>
          <t>AADCD9460D_25-26/8/247</t>
        </is>
      </c>
      <c r="H23" s="7" t="n">
        <v>45900</v>
      </c>
      <c r="I23" s="4" t="n">
        <v>11800</v>
      </c>
      <c r="J23" s="4" t="n">
        <v>10000</v>
      </c>
      <c r="K23" t="n">
        <v>0</v>
      </c>
      <c r="L23" s="4" t="n">
        <v>0</v>
      </c>
      <c r="M23" s="4" t="n">
        <v>900</v>
      </c>
      <c r="N23" s="4" t="n">
        <v>900</v>
      </c>
      <c r="O23" s="4" t="n">
        <v>0</v>
      </c>
      <c r="P23">
        <f>VLOOKUP(G23,'GST + Invocie No'!$B$5:$Y$183,24,0)</f>
        <v/>
      </c>
    </row>
    <row r="24">
      <c r="A24" t="inlineStr">
        <is>
          <t>September,2025</t>
        </is>
      </c>
      <c r="B24" t="inlineStr">
        <is>
          <t>DOVE SOFT PRIVATE LIMITED</t>
        </is>
      </c>
      <c r="C24" t="inlineStr">
        <is>
          <t>27AADCD9460D1ZO</t>
        </is>
      </c>
      <c r="D24" t="inlineStr">
        <is>
          <t>Regular</t>
        </is>
      </c>
      <c r="E24" t="inlineStr">
        <is>
          <t>No</t>
        </is>
      </c>
      <c r="F24" t="inlineStr">
        <is>
          <t>25-26/9/258</t>
        </is>
      </c>
      <c r="G24" t="inlineStr">
        <is>
          <t>AADCD9460D_25-26/9/258</t>
        </is>
      </c>
      <c r="H24" s="7" t="n">
        <v>45930</v>
      </c>
      <c r="I24" s="4" t="n">
        <v>11800</v>
      </c>
      <c r="J24" s="4" t="n">
        <v>10000</v>
      </c>
      <c r="K24" t="n">
        <v>0</v>
      </c>
      <c r="L24" s="4" t="n">
        <v>0</v>
      </c>
      <c r="M24" s="4" t="n">
        <v>900</v>
      </c>
      <c r="N24" s="4" t="n">
        <v>900</v>
      </c>
      <c r="O24" s="4" t="n">
        <v>0</v>
      </c>
      <c r="P24">
        <f>VLOOKUP(G24,'GST + Invocie No'!$B$5:$Y$183,24,0)</f>
        <v/>
      </c>
    </row>
    <row r="25">
      <c r="A25" t="inlineStr">
        <is>
          <t>October,2025</t>
        </is>
      </c>
      <c r="B25" t="inlineStr">
        <is>
          <t>DOVE SOFT PRIVATE LIMITED</t>
        </is>
      </c>
      <c r="C25" t="inlineStr">
        <is>
          <t>27AADCD9460D1ZO</t>
        </is>
      </c>
      <c r="D25" t="inlineStr">
        <is>
          <t>Regular</t>
        </is>
      </c>
      <c r="E25" t="inlineStr">
        <is>
          <t>No</t>
        </is>
      </c>
      <c r="F25" t="inlineStr">
        <is>
          <t>25-26/10/217</t>
        </is>
      </c>
      <c r="G25" t="inlineStr">
        <is>
          <t>AADCD9460D_25-26/10/217</t>
        </is>
      </c>
      <c r="H25" s="7" t="n">
        <v>45961</v>
      </c>
      <c r="I25" s="4" t="n">
        <v>11800</v>
      </c>
      <c r="J25" s="4" t="n">
        <v>10000</v>
      </c>
      <c r="K25" t="n">
        <v>0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t="inlineStr">
        <is>
          <t>November,2025</t>
        </is>
      </c>
      <c r="B26" t="inlineStr">
        <is>
          <t>DOVE SOFT PRIVATE LIMITED</t>
        </is>
      </c>
      <c r="C26" t="inlineStr">
        <is>
          <t>27AADCD9460D1ZO</t>
        </is>
      </c>
      <c r="D26" t="inlineStr">
        <is>
          <t>Regular</t>
        </is>
      </c>
      <c r="E26" t="inlineStr">
        <is>
          <t>No</t>
        </is>
      </c>
      <c r="F26" t="inlineStr">
        <is>
          <t>25-26/11/256</t>
        </is>
      </c>
      <c r="G26" t="inlineStr">
        <is>
          <t>AADCD9460D_25-26/11/256</t>
        </is>
      </c>
      <c r="H26" s="7" t="n">
        <v>45990</v>
      </c>
      <c r="I26" s="4" t="n">
        <v>11800</v>
      </c>
      <c r="J26" s="4" t="n">
        <v>10000</v>
      </c>
      <c r="K26" t="n">
        <v>0</v>
      </c>
      <c r="L26" s="4" t="n">
        <v>0</v>
      </c>
      <c r="M26" s="4" t="n">
        <v>900</v>
      </c>
      <c r="N26" s="4" t="n">
        <v>900</v>
      </c>
      <c r="O26" s="4" t="n">
        <v>0</v>
      </c>
      <c r="P26">
        <f>VLOOKUP(G26,'GST + Invocie No'!$B$5:$Y$183,24,0)</f>
        <v/>
      </c>
    </row>
    <row r="27">
      <c r="A27" t="inlineStr">
        <is>
          <t>December,2025</t>
        </is>
      </c>
      <c r="B27" t="inlineStr">
        <is>
          <t>DOVE SOFT PRIVATE LIMITED</t>
        </is>
      </c>
      <c r="C27" t="inlineStr">
        <is>
          <t>27AADCD9460D1ZO</t>
        </is>
      </c>
      <c r="D27" t="inlineStr">
        <is>
          <t>Regular</t>
        </is>
      </c>
      <c r="E27" t="inlineStr">
        <is>
          <t>No</t>
        </is>
      </c>
      <c r="F27" t="inlineStr">
        <is>
          <t>25-26/12/63</t>
        </is>
      </c>
      <c r="G27" t="inlineStr">
        <is>
          <t>AADCD9460D_25-26/12/63</t>
        </is>
      </c>
      <c r="H27" s="7" t="n">
        <v>46000</v>
      </c>
      <c r="I27" s="4" t="n">
        <v>2748280</v>
      </c>
      <c r="J27" s="4" t="n">
        <v>2329050.91</v>
      </c>
      <c r="K27" t="n">
        <v>0</v>
      </c>
      <c r="L27" s="4" t="n">
        <v>0</v>
      </c>
      <c r="M27" s="4" t="n">
        <v>209615</v>
      </c>
      <c r="N27" s="4" t="n">
        <v>209615</v>
      </c>
      <c r="O27" s="4" t="n">
        <v>0</v>
      </c>
      <c r="P27">
        <f>VLOOKUP(G27,'GST + Invocie No'!$B$5:$Y$183,24,0)</f>
        <v/>
      </c>
    </row>
    <row r="28">
      <c r="A28" t="inlineStr">
        <is>
          <t>December,2025</t>
        </is>
      </c>
      <c r="B28" t="inlineStr">
        <is>
          <t>DOVE SOFT PRIVATE LIMITED</t>
        </is>
      </c>
      <c r="C28" t="inlineStr">
        <is>
          <t>27AADCD9460D1ZO</t>
        </is>
      </c>
      <c r="D28" t="inlineStr">
        <is>
          <t>Regular</t>
        </is>
      </c>
      <c r="E28" t="inlineStr">
        <is>
          <t>No</t>
        </is>
      </c>
      <c r="F28" t="inlineStr">
        <is>
          <t>25-26/12/270</t>
        </is>
      </c>
      <c r="G28" t="inlineStr">
        <is>
          <t>AADCD9460D_25-26/12/270</t>
        </is>
      </c>
      <c r="H28" s="7" t="n">
        <v>46022</v>
      </c>
      <c r="I28" s="4" t="n">
        <v>11800</v>
      </c>
      <c r="J28" s="4" t="n">
        <v>10000</v>
      </c>
      <c r="K28" t="n">
        <v>0</v>
      </c>
      <c r="L28" s="4" t="n">
        <v>0</v>
      </c>
      <c r="M28" s="4" t="n">
        <v>900</v>
      </c>
      <c r="N28" s="4" t="n">
        <v>900</v>
      </c>
      <c r="O28" s="4" t="n">
        <v>0</v>
      </c>
      <c r="P28">
        <f>VLOOKUP(G28,'GST + Invocie No'!$B$5:$Y$183,24,0)</f>
        <v/>
      </c>
    </row>
    <row r="29">
      <c r="A29" t="inlineStr">
        <is>
          <t>December,2025</t>
        </is>
      </c>
      <c r="B29" t="inlineStr">
        <is>
          <t>DOVE SOFT PRIVATE LIMITED</t>
        </is>
      </c>
      <c r="C29" t="inlineStr">
        <is>
          <t>27AADCD9460D1ZO</t>
        </is>
      </c>
      <c r="D29" t="inlineStr">
        <is>
          <t>Regular</t>
        </is>
      </c>
      <c r="E29" t="inlineStr">
        <is>
          <t>No</t>
        </is>
      </c>
      <c r="F29" t="inlineStr">
        <is>
          <t>25-26/12/375</t>
        </is>
      </c>
      <c r="G29" t="inlineStr">
        <is>
          <t>AADCD9460D_25-26/12/375</t>
        </is>
      </c>
      <c r="H29" s="7" t="n">
        <v>46022</v>
      </c>
      <c r="I29" s="4" t="n">
        <v>4474325</v>
      </c>
      <c r="J29" s="4" t="n">
        <v>3791800.7</v>
      </c>
      <c r="K29" t="n">
        <v>0</v>
      </c>
      <c r="L29" s="4" t="n">
        <v>0</v>
      </c>
      <c r="M29" s="4" t="n">
        <v>341262</v>
      </c>
      <c r="N29" s="4" t="n">
        <v>341262</v>
      </c>
      <c r="O29" s="4" t="n">
        <v>0</v>
      </c>
      <c r="P29">
        <f>VLOOKUP(G29,'GST + Invocie No'!$B$5:$Y$183,24,0)</f>
        <v/>
      </c>
    </row>
    <row r="30">
      <c r="A30" t="inlineStr">
        <is>
          <t>December,2025</t>
        </is>
      </c>
      <c r="B30" t="inlineStr">
        <is>
          <t>DOVE SOFT PRIVATE LIMITED</t>
        </is>
      </c>
      <c r="C30" t="inlineStr">
        <is>
          <t>27AADCD9460D1ZO</t>
        </is>
      </c>
      <c r="D30" t="inlineStr">
        <is>
          <t>Regular</t>
        </is>
      </c>
      <c r="E30" t="inlineStr">
        <is>
          <t>No</t>
        </is>
      </c>
      <c r="F30" t="inlineStr">
        <is>
          <t>25-26/12/376</t>
        </is>
      </c>
      <c r="G30" t="inlineStr">
        <is>
          <t>AADCD9460D_25-26/12/376</t>
        </is>
      </c>
      <c r="H30" s="7" t="n">
        <v>46022</v>
      </c>
      <c r="I30" s="4" t="n">
        <v>1034096</v>
      </c>
      <c r="J30" s="4" t="n">
        <v>876352.15</v>
      </c>
      <c r="K30" t="n">
        <v>0</v>
      </c>
      <c r="L30" s="4" t="n">
        <v>0</v>
      </c>
      <c r="M30" s="4" t="n">
        <v>78872</v>
      </c>
      <c r="N30" s="4" t="n">
        <v>78872</v>
      </c>
      <c r="O30" s="4" t="n">
        <v>0</v>
      </c>
      <c r="P30">
        <f>VLOOKUP(G30,'GST + Invocie No'!$B$5:$Y$183,24,0)</f>
        <v/>
      </c>
    </row>
    <row r="31">
      <c r="A31" t="inlineStr">
        <is>
          <t>December,2025</t>
        </is>
      </c>
      <c r="B31" t="inlineStr">
        <is>
          <t>DOVE SOFT PRIVATE LIMITED</t>
        </is>
      </c>
      <c r="C31" t="inlineStr">
        <is>
          <t>27AADCD9460D1ZO</t>
        </is>
      </c>
      <c r="D31" t="inlineStr">
        <is>
          <t>Regular</t>
        </is>
      </c>
      <c r="E31" t="inlineStr">
        <is>
          <t>No</t>
        </is>
      </c>
      <c r="F31" t="inlineStr">
        <is>
          <t>25-26/12/377</t>
        </is>
      </c>
      <c r="G31" t="inlineStr">
        <is>
          <t>AADCD9460D_25-26/12/377</t>
        </is>
      </c>
      <c r="H31" s="7" t="n">
        <v>46022</v>
      </c>
      <c r="I31" s="4" t="n">
        <v>278222</v>
      </c>
      <c r="J31" s="4" t="n">
        <v>235781.15</v>
      </c>
      <c r="K31" t="n">
        <v>0</v>
      </c>
      <c r="L31" s="4" t="n">
        <v>0</v>
      </c>
      <c r="M31" s="4" t="n">
        <v>21220</v>
      </c>
      <c r="N31" s="4" t="n">
        <v>21220</v>
      </c>
      <c r="O31" s="4" t="n">
        <v>0</v>
      </c>
      <c r="P31">
        <f>VLOOKUP(G31,'GST + Invocie No'!$B$5:$Y$183,24,0)</f>
        <v/>
      </c>
    </row>
    <row r="32">
      <c r="A32" t="inlineStr">
        <is>
          <t>December,2025</t>
        </is>
      </c>
      <c r="B32" t="inlineStr">
        <is>
          <t>DOVE SOFT PRIVATE LIMITED</t>
        </is>
      </c>
      <c r="C32" t="inlineStr">
        <is>
          <t>27AADCD9460D1ZO</t>
        </is>
      </c>
      <c r="D32" t="inlineStr">
        <is>
          <t>Regular</t>
        </is>
      </c>
      <c r="E32" t="inlineStr">
        <is>
          <t>No</t>
        </is>
      </c>
      <c r="F32" t="inlineStr">
        <is>
          <t>25-26/12/378</t>
        </is>
      </c>
      <c r="G32" t="inlineStr">
        <is>
          <t>AADCD9460D_25-26/12/378</t>
        </is>
      </c>
      <c r="H32" s="7" t="n">
        <v>46022</v>
      </c>
      <c r="I32" s="4" t="n">
        <v>395712</v>
      </c>
      <c r="J32" s="4" t="n">
        <v>335348.75</v>
      </c>
      <c r="K32" t="n">
        <v>0</v>
      </c>
      <c r="L32" s="4" t="n">
        <v>0</v>
      </c>
      <c r="M32" s="4" t="n">
        <v>30181</v>
      </c>
      <c r="N32" s="4" t="n">
        <v>30181</v>
      </c>
      <c r="O32" s="4" t="n">
        <v>0</v>
      </c>
      <c r="P32">
        <f>VLOOKUP(G32,'GST + Invocie No'!$B$5:$Y$183,24,0)</f>
        <v/>
      </c>
    </row>
    <row r="33">
      <c r="A33" t="inlineStr">
        <is>
          <t>January,2026</t>
        </is>
      </c>
      <c r="B33" t="inlineStr">
        <is>
          <t>DOVE SOFT PRIVATE LIMITED</t>
        </is>
      </c>
      <c r="C33" t="inlineStr">
        <is>
          <t>27AADCD9460D1ZO</t>
        </is>
      </c>
      <c r="D33" t="inlineStr">
        <is>
          <t>Regular</t>
        </is>
      </c>
      <c r="E33" t="inlineStr">
        <is>
          <t>No</t>
        </is>
      </c>
      <c r="F33" t="inlineStr">
        <is>
          <t>25-26/1/366</t>
        </is>
      </c>
      <c r="G33" t="inlineStr">
        <is>
          <t>AADCD9460D_25-26/1/366</t>
        </is>
      </c>
      <c r="H33" s="7" t="n">
        <v>46053</v>
      </c>
      <c r="I33" s="4" t="n">
        <v>11800</v>
      </c>
      <c r="J33" s="4" t="n">
        <v>10000</v>
      </c>
      <c r="K33" t="n">
        <v>0</v>
      </c>
      <c r="L33" s="4" t="n">
        <v>0</v>
      </c>
      <c r="M33" s="4" t="n">
        <v>900</v>
      </c>
      <c r="N33" s="4" t="n">
        <v>900</v>
      </c>
      <c r="O33" s="4" t="n">
        <v>0</v>
      </c>
      <c r="P33">
        <f>VLOOKUP(G33,'GST + Invocie No'!$B$5:$Y$183,24,0)</f>
        <v/>
      </c>
    </row>
    <row r="34">
      <c r="A34" t="inlineStr">
        <is>
          <t>February,2026</t>
        </is>
      </c>
      <c r="B34" t="inlineStr">
        <is>
          <t>DOVE SOFT PRIVATE LIMITED</t>
        </is>
      </c>
      <c r="C34" t="inlineStr">
        <is>
          <t>27AADCD9460D1ZO</t>
        </is>
      </c>
      <c r="D34" t="inlineStr">
        <is>
          <t>Regular</t>
        </is>
      </c>
      <c r="E34" t="inlineStr">
        <is>
          <t>No</t>
        </is>
      </c>
      <c r="F34" t="inlineStr">
        <is>
          <t>25-26/2/331</t>
        </is>
      </c>
      <c r="G34" t="inlineStr">
        <is>
          <t>AADCD9460D_25-26/2/331</t>
        </is>
      </c>
      <c r="H34" s="7" t="n">
        <v>46081</v>
      </c>
      <c r="I34" s="4" t="n">
        <v>11800</v>
      </c>
      <c r="J34" s="4" t="n">
        <v>10000</v>
      </c>
      <c r="K34" t="n">
        <v>0</v>
      </c>
      <c r="L34" s="4" t="n">
        <v>0</v>
      </c>
      <c r="M34" s="4" t="n">
        <v>900</v>
      </c>
      <c r="N34" s="4" t="n">
        <v>900</v>
      </c>
      <c r="O34" s="4" t="n">
        <v>0</v>
      </c>
      <c r="P34">
        <f>VLOOKUP(G34,'GST + Invocie No'!$B$5:$Y$183,24,0)</f>
        <v/>
      </c>
    </row>
    <row r="35">
      <c r="A35" t="inlineStr">
        <is>
          <t>March,2026</t>
        </is>
      </c>
      <c r="B35" t="inlineStr">
        <is>
          <t>DOVE SOFT PRIVATE LIMITED</t>
        </is>
      </c>
      <c r="C35" t="inlineStr">
        <is>
          <t>27AADCD9460D1ZO</t>
        </is>
      </c>
      <c r="D35" t="inlineStr">
        <is>
          <t>Regular</t>
        </is>
      </c>
      <c r="E35" t="inlineStr">
        <is>
          <t>No</t>
        </is>
      </c>
      <c r="F35" t="inlineStr">
        <is>
          <t>25-26/3/377</t>
        </is>
      </c>
      <c r="G35" t="inlineStr">
        <is>
          <t>AADCD9460D_25-26/3/377</t>
        </is>
      </c>
      <c r="H35" s="7" t="n">
        <v>46112</v>
      </c>
      <c r="I35" s="4" t="n">
        <v>118000</v>
      </c>
      <c r="J35" s="4" t="n">
        <v>100000</v>
      </c>
      <c r="K35" t="n">
        <v>0</v>
      </c>
      <c r="L35" s="4" t="n">
        <v>0</v>
      </c>
      <c r="M35" s="4" t="n">
        <v>9000</v>
      </c>
      <c r="N35" s="4" t="n">
        <v>9000</v>
      </c>
      <c r="O35" s="4" t="n">
        <v>0</v>
      </c>
      <c r="P35">
        <f>VLOOKUP(G35,'GST + Invocie No'!$B$5:$Y$183,24,0)</f>
        <v/>
      </c>
    </row>
    <row r="36">
      <c r="A36" t="inlineStr">
        <is>
          <t>March,2026</t>
        </is>
      </c>
      <c r="B36" t="inlineStr">
        <is>
          <t>DOVE SOFT PRIVATE LIMITED</t>
        </is>
      </c>
      <c r="C36" t="inlineStr">
        <is>
          <t>27AADCD9460D1ZO</t>
        </is>
      </c>
      <c r="D36" t="inlineStr">
        <is>
          <t>Regular</t>
        </is>
      </c>
      <c r="E36" t="inlineStr">
        <is>
          <t>No</t>
        </is>
      </c>
      <c r="F36" t="inlineStr">
        <is>
          <t>25-26/3/396</t>
        </is>
      </c>
      <c r="G36" t="inlineStr">
        <is>
          <t>AADCD9460D_25-26/3/396</t>
        </is>
      </c>
      <c r="H36" s="7" t="n">
        <v>46112</v>
      </c>
      <c r="I36" s="4" t="n">
        <v>11800</v>
      </c>
      <c r="J36" s="4" t="n">
        <v>10000</v>
      </c>
      <c r="K36" t="n">
        <v>0</v>
      </c>
      <c r="L36" s="4" t="n">
        <v>0</v>
      </c>
      <c r="M36" s="4" t="n">
        <v>900</v>
      </c>
      <c r="N36" s="4" t="n">
        <v>900</v>
      </c>
      <c r="O36" s="4" t="n">
        <v>0</v>
      </c>
      <c r="P36">
        <f>VLOOKUP(G36,'GST + Invocie No'!$B$5:$Y$183,24,0)</f>
        <v/>
      </c>
    </row>
    <row r="37">
      <c r="A37" t="inlineStr">
        <is>
          <t>April,2025</t>
        </is>
      </c>
      <c r="B37" t="inlineStr">
        <is>
          <t>E Trav Tech Limited</t>
        </is>
      </c>
      <c r="C37" t="inlineStr">
        <is>
          <t>27AAECR8945A1ZB</t>
        </is>
      </c>
      <c r="D37" t="inlineStr">
        <is>
          <t>Regular</t>
        </is>
      </c>
      <c r="E37" t="inlineStr">
        <is>
          <t>No</t>
        </is>
      </c>
      <c r="F37" t="inlineStr">
        <is>
          <t>SH/APR-25/275</t>
        </is>
      </c>
      <c r="G37" t="inlineStr">
        <is>
          <t>AAECR8945A_SH/APR-25/275</t>
        </is>
      </c>
      <c r="H37" s="7" t="n">
        <v>45757</v>
      </c>
      <c r="I37" s="4" t="n">
        <v>656.97</v>
      </c>
      <c r="J37" s="4" t="n">
        <v>556.75</v>
      </c>
      <c r="K37" t="n">
        <v>0</v>
      </c>
      <c r="L37" s="4" t="n">
        <v>0</v>
      </c>
      <c r="M37" s="4" t="n">
        <v>50.11</v>
      </c>
      <c r="N37" s="4" t="n">
        <v>50.11</v>
      </c>
      <c r="O37" s="4" t="n">
        <v>0</v>
      </c>
      <c r="P37">
        <f>VLOOKUP(G37,'GST + Invocie No'!$B$5:$Y$183,24,0)</f>
        <v/>
      </c>
    </row>
    <row r="38">
      <c r="A38" t="inlineStr">
        <is>
          <t>May,2025</t>
        </is>
      </c>
      <c r="B38" t="inlineStr">
        <is>
          <t>E Trav Tech Limited</t>
        </is>
      </c>
      <c r="C38" t="inlineStr">
        <is>
          <t>27AAECR8945A1ZB</t>
        </is>
      </c>
      <c r="D38" t="inlineStr">
        <is>
          <t>Regular</t>
        </is>
      </c>
      <c r="E38" t="inlineStr">
        <is>
          <t>No</t>
        </is>
      </c>
      <c r="F38" t="inlineStr">
        <is>
          <t>SH/MAY-25/45</t>
        </is>
      </c>
      <c r="G38" t="inlineStr">
        <is>
          <t>AAECR8945A_SH/MAY-25/45</t>
        </is>
      </c>
      <c r="H38" s="7" t="n">
        <v>45778</v>
      </c>
      <c r="I38" s="4" t="n">
        <v>481.21</v>
      </c>
      <c r="J38" s="4" t="n">
        <v>407.81</v>
      </c>
      <c r="K38" t="n">
        <v>0</v>
      </c>
      <c r="L38" s="4" t="n">
        <v>0</v>
      </c>
      <c r="M38" s="4" t="n">
        <v>36.7</v>
      </c>
      <c r="N38" s="4" t="n">
        <v>36.7</v>
      </c>
      <c r="O38" s="4" t="n">
        <v>0</v>
      </c>
      <c r="P38">
        <f>VLOOKUP(G38,'GST + Invocie No'!$B$5:$Y$183,24,0)</f>
        <v/>
      </c>
    </row>
    <row r="39">
      <c r="A39" t="inlineStr">
        <is>
          <t>May,2025</t>
        </is>
      </c>
      <c r="B39" t="inlineStr">
        <is>
          <t>E Trav Tech Limited</t>
        </is>
      </c>
      <c r="C39" t="inlineStr">
        <is>
          <t>27AAECR8945A1ZB</t>
        </is>
      </c>
      <c r="D39" t="inlineStr">
        <is>
          <t>Regular</t>
        </is>
      </c>
      <c r="E39" t="inlineStr">
        <is>
          <t>No</t>
        </is>
      </c>
      <c r="F39" t="inlineStr">
        <is>
          <t>SH/MAY-25/53</t>
        </is>
      </c>
      <c r="G39" t="inlineStr">
        <is>
          <t>AAECR8945A_SH/MAY-25/53</t>
        </is>
      </c>
      <c r="H39" s="7" t="n">
        <v>45778</v>
      </c>
      <c r="I39" s="4" t="n">
        <v>4756.55</v>
      </c>
      <c r="J39" s="4" t="n">
        <v>4030.97</v>
      </c>
      <c r="K39" t="n">
        <v>0</v>
      </c>
      <c r="L39" s="4" t="n">
        <v>0</v>
      </c>
      <c r="M39" s="4" t="n">
        <v>362.79</v>
      </c>
      <c r="N39" s="4" t="n">
        <v>362.79</v>
      </c>
      <c r="O39" s="4" t="n">
        <v>0</v>
      </c>
      <c r="P39">
        <f>VLOOKUP(G39,'GST + Invocie No'!$B$5:$Y$183,24,0)</f>
        <v/>
      </c>
    </row>
    <row r="40">
      <c r="A40" t="inlineStr">
        <is>
          <t>May,2025</t>
        </is>
      </c>
      <c r="B40" t="inlineStr">
        <is>
          <t>E Trav Tech Limited</t>
        </is>
      </c>
      <c r="C40" t="inlineStr">
        <is>
          <t>27AAECR8945A1ZB</t>
        </is>
      </c>
      <c r="D40" t="inlineStr">
        <is>
          <t>Regular</t>
        </is>
      </c>
      <c r="E40" t="inlineStr">
        <is>
          <t>No</t>
        </is>
      </c>
      <c r="F40" t="inlineStr">
        <is>
          <t>SH/MAY-25/171</t>
        </is>
      </c>
      <c r="G40" t="inlineStr">
        <is>
          <t>AAECR8945A_SH/MAY-25/171</t>
        </is>
      </c>
      <c r="H40" s="7" t="n">
        <v>45779</v>
      </c>
      <c r="I40" s="4" t="n">
        <v>319.21</v>
      </c>
      <c r="J40" s="4" t="n">
        <v>270.51</v>
      </c>
      <c r="K40" t="n">
        <v>0</v>
      </c>
      <c r="L40" s="4" t="n">
        <v>0</v>
      </c>
      <c r="M40" s="4" t="n">
        <v>24.35</v>
      </c>
      <c r="N40" s="4" t="n">
        <v>24.35</v>
      </c>
      <c r="O40" s="4" t="n">
        <v>0</v>
      </c>
      <c r="P40">
        <f>VLOOKUP(G40,'GST + Invocie No'!$B$5:$Y$183,24,0)</f>
        <v/>
      </c>
    </row>
    <row r="41">
      <c r="A41" t="inlineStr">
        <is>
          <t>April,2025</t>
        </is>
      </c>
      <c r="B41" t="inlineStr">
        <is>
          <t>FACEBOOK INDIA ONLINE SERVICES PRIVATE LIMITED</t>
        </is>
      </c>
      <c r="C41" t="inlineStr">
        <is>
          <t>06AABCF5150G1ZZ</t>
        </is>
      </c>
      <c r="D41" t="inlineStr">
        <is>
          <t>Regular</t>
        </is>
      </c>
      <c r="E41" t="inlineStr">
        <is>
          <t>No</t>
        </is>
      </c>
      <c r="F41" t="inlineStr">
        <is>
          <t>ADS406-104287387</t>
        </is>
      </c>
      <c r="G41" t="inlineStr">
        <is>
          <t>AABCF5150G_ADS406-104287387</t>
        </is>
      </c>
      <c r="H41" s="7" t="n">
        <v>45749</v>
      </c>
      <c r="I41" s="4" t="n">
        <v>49.6</v>
      </c>
      <c r="J41" s="4" t="n">
        <v>42.03</v>
      </c>
      <c r="K41" t="n">
        <v>0</v>
      </c>
      <c r="L41" s="4" t="n">
        <v>7.57</v>
      </c>
      <c r="M41" s="4" t="n">
        <v>0</v>
      </c>
      <c r="N41" s="4" t="n">
        <v>0</v>
      </c>
      <c r="O41" s="4" t="n">
        <v>0</v>
      </c>
      <c r="P41">
        <f>VLOOKUP(G41,'GST + Invocie No'!$B$5:$Y$183,24,0)</f>
        <v/>
      </c>
    </row>
    <row r="42">
      <c r="A42" t="inlineStr">
        <is>
          <t>April,2025</t>
        </is>
      </c>
      <c r="B42" t="inlineStr">
        <is>
          <t>FACEBOOK INDIA ONLINE SERVICES PRIVATE LIMITED</t>
        </is>
      </c>
      <c r="C42" t="inlineStr">
        <is>
          <t>06AABCF5150G1ZZ</t>
        </is>
      </c>
      <c r="D42" t="inlineStr">
        <is>
          <t>Regular</t>
        </is>
      </c>
      <c r="E42" t="inlineStr">
        <is>
          <t>No</t>
        </is>
      </c>
      <c r="F42" t="inlineStr">
        <is>
          <t>ADS406-104290423</t>
        </is>
      </c>
      <c r="G42" t="inlineStr">
        <is>
          <t>AABCF5150G_ADS406-104290423</t>
        </is>
      </c>
      <c r="H42" s="7" t="n">
        <v>45750</v>
      </c>
      <c r="I42" s="4" t="n">
        <v>52.6</v>
      </c>
      <c r="J42" s="4" t="n">
        <v>44.58</v>
      </c>
      <c r="K42" t="n">
        <v>0</v>
      </c>
      <c r="L42" s="4" t="n">
        <v>8.02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t="inlineStr">
        <is>
          <t>April,2025</t>
        </is>
      </c>
      <c r="B43" t="inlineStr">
        <is>
          <t>FACEBOOK INDIA ONLINE SERVICES PRIVATE LIMITED</t>
        </is>
      </c>
      <c r="C43" t="inlineStr">
        <is>
          <t>06AABCF5150G1ZZ</t>
        </is>
      </c>
      <c r="D43" t="inlineStr">
        <is>
          <t>Regular</t>
        </is>
      </c>
      <c r="E43" t="inlineStr">
        <is>
          <t>No</t>
        </is>
      </c>
      <c r="F43" t="inlineStr">
        <is>
          <t>ADS406-104296522</t>
        </is>
      </c>
      <c r="G43" t="inlineStr">
        <is>
          <t>AABCF5150G_ADS406-104296522</t>
        </is>
      </c>
      <c r="H43" s="7" t="n">
        <v>45752</v>
      </c>
      <c r="I43" s="4" t="n">
        <v>47.86</v>
      </c>
      <c r="J43" s="4" t="n">
        <v>40.56</v>
      </c>
      <c r="K43" t="n">
        <v>0</v>
      </c>
      <c r="L43" s="4" t="n">
        <v>7.3</v>
      </c>
      <c r="M43" s="4" t="n">
        <v>0</v>
      </c>
      <c r="N43" s="4" t="n">
        <v>0</v>
      </c>
      <c r="O43" s="4" t="n">
        <v>0</v>
      </c>
      <c r="P43">
        <f>VLOOKUP(G43,'GST + Invocie No'!$B$5:$Y$183,24,0)</f>
        <v/>
      </c>
    </row>
    <row r="44">
      <c r="A44" t="inlineStr">
        <is>
          <t>April,2025</t>
        </is>
      </c>
      <c r="B44" t="inlineStr">
        <is>
          <t>FACEBOOK INDIA ONLINE SERVICES PRIVATE LIMITED</t>
        </is>
      </c>
      <c r="C44" t="inlineStr">
        <is>
          <t>06AABCF5150G1ZZ</t>
        </is>
      </c>
      <c r="D44" t="inlineStr">
        <is>
          <t>Regular</t>
        </is>
      </c>
      <c r="E44" t="inlineStr">
        <is>
          <t>No</t>
        </is>
      </c>
      <c r="F44" t="inlineStr">
        <is>
          <t>ADS406-104299421</t>
        </is>
      </c>
      <c r="G44" t="inlineStr">
        <is>
          <t>AABCF5150G_ADS406-104299421</t>
        </is>
      </c>
      <c r="H44" s="7" t="n">
        <v>45753</v>
      </c>
      <c r="I44" s="4" t="n">
        <v>53.86</v>
      </c>
      <c r="J44" s="4" t="n">
        <v>45.64</v>
      </c>
      <c r="K44" t="n">
        <v>0</v>
      </c>
      <c r="L44" s="4" t="n">
        <v>8.220000000000001</v>
      </c>
      <c r="M44" s="4" t="n">
        <v>0</v>
      </c>
      <c r="N44" s="4" t="n">
        <v>0</v>
      </c>
      <c r="O44" s="4" t="n">
        <v>0</v>
      </c>
      <c r="P44">
        <f>VLOOKUP(G44,'GST + Invocie No'!$B$5:$Y$183,24,0)</f>
        <v/>
      </c>
    </row>
    <row r="45">
      <c r="A45" t="inlineStr">
        <is>
          <t>April,2025</t>
        </is>
      </c>
      <c r="B45" t="inlineStr">
        <is>
          <t>FACEBOOK INDIA ONLINE SERVICES PRIVATE LIMITED</t>
        </is>
      </c>
      <c r="C45" t="inlineStr">
        <is>
          <t>06AABCF5150G1ZZ</t>
        </is>
      </c>
      <c r="D45" t="inlineStr">
        <is>
          <t>Regular</t>
        </is>
      </c>
      <c r="E45" t="inlineStr">
        <is>
          <t>No</t>
        </is>
      </c>
      <c r="F45" t="inlineStr">
        <is>
          <t>ADS406-104334095</t>
        </is>
      </c>
      <c r="G45" t="inlineStr">
        <is>
          <t>AABCF5150G_ADS406-104334095</t>
        </is>
      </c>
      <c r="H45" s="7" t="n">
        <v>45764</v>
      </c>
      <c r="I45" s="4" t="n">
        <v>50.23</v>
      </c>
      <c r="J45" s="4" t="n">
        <v>42.57</v>
      </c>
      <c r="K45" t="n">
        <v>0</v>
      </c>
      <c r="L45" s="4" t="n">
        <v>7.66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t="inlineStr">
        <is>
          <t>April,2025</t>
        </is>
      </c>
      <c r="B46" t="inlineStr">
        <is>
          <t>FACEBOOK INDIA ONLINE SERVICES PRIVATE LIMITED</t>
        </is>
      </c>
      <c r="C46" t="inlineStr">
        <is>
          <t>06AABCF5150G1ZZ</t>
        </is>
      </c>
      <c r="D46" t="inlineStr">
        <is>
          <t>Regular</t>
        </is>
      </c>
      <c r="E46" t="inlineStr">
        <is>
          <t>No</t>
        </is>
      </c>
      <c r="F46" t="inlineStr">
        <is>
          <t>ADS406-104336831</t>
        </is>
      </c>
      <c r="G46" t="inlineStr">
        <is>
          <t>AABCF5150G_ADS406-104336831</t>
        </is>
      </c>
      <c r="H46" s="7" t="n">
        <v>45765</v>
      </c>
      <c r="I46" s="4" t="n">
        <v>50.85</v>
      </c>
      <c r="J46" s="4" t="n">
        <v>43.09</v>
      </c>
      <c r="K46" t="n">
        <v>0</v>
      </c>
      <c r="L46" s="4" t="n">
        <v>7.76</v>
      </c>
      <c r="M46" s="4" t="n">
        <v>0</v>
      </c>
      <c r="N46" s="4" t="n">
        <v>0</v>
      </c>
      <c r="O46" s="4" t="n">
        <v>0</v>
      </c>
      <c r="P46">
        <f>VLOOKUP(G46,'GST + Invocie No'!$B$5:$Y$183,24,0)</f>
        <v/>
      </c>
    </row>
    <row r="47">
      <c r="A47" t="inlineStr">
        <is>
          <t>April,2025</t>
        </is>
      </c>
      <c r="B47" t="inlineStr">
        <is>
          <t>FACEBOOK INDIA ONLINE SERVICES PRIVATE LIMITED</t>
        </is>
      </c>
      <c r="C47" t="inlineStr">
        <is>
          <t>06AABCF5150G1ZZ</t>
        </is>
      </c>
      <c r="D47" t="inlineStr">
        <is>
          <t>Regular</t>
        </is>
      </c>
      <c r="E47" t="inlineStr">
        <is>
          <t>No</t>
        </is>
      </c>
      <c r="F47" t="inlineStr">
        <is>
          <t>ADS406-104353979</t>
        </is>
      </c>
      <c r="G47" t="inlineStr">
        <is>
          <t>AABCF5150G_ADS406-104353979</t>
        </is>
      </c>
      <c r="H47" s="7" t="n">
        <v>45771</v>
      </c>
      <c r="I47" s="4" t="n">
        <v>41.76</v>
      </c>
      <c r="J47" s="4" t="n">
        <v>35.39</v>
      </c>
      <c r="K47" t="n">
        <v>0</v>
      </c>
      <c r="L47" s="4" t="n">
        <v>6.37</v>
      </c>
      <c r="M47" s="4" t="n">
        <v>0</v>
      </c>
      <c r="N47" s="4" t="n">
        <v>0</v>
      </c>
      <c r="O47" s="4" t="n">
        <v>0</v>
      </c>
      <c r="P47">
        <f>VLOOKUP(G47,'GST + Invocie No'!$B$5:$Y$183,24,0)</f>
        <v/>
      </c>
    </row>
    <row r="48">
      <c r="A48" t="inlineStr">
        <is>
          <t>April,2025</t>
        </is>
      </c>
      <c r="B48" t="inlineStr">
        <is>
          <t>FACEBOOK INDIA ONLINE SERVICES PRIVATE LIMITED</t>
        </is>
      </c>
      <c r="C48" t="inlineStr">
        <is>
          <t>06AABCF5150G1ZZ</t>
        </is>
      </c>
      <c r="D48" t="inlineStr">
        <is>
          <t>Regular</t>
        </is>
      </c>
      <c r="E48" t="inlineStr">
        <is>
          <t>No</t>
        </is>
      </c>
      <c r="F48" t="inlineStr">
        <is>
          <t>ADS406-104356904</t>
        </is>
      </c>
      <c r="G48" t="inlineStr">
        <is>
          <t>AABCF5150G_ADS406-104356904</t>
        </is>
      </c>
      <c r="H48" s="7" t="n">
        <v>45772</v>
      </c>
      <c r="I48" s="4" t="n">
        <v>57.96</v>
      </c>
      <c r="J48" s="4" t="n">
        <v>49.12</v>
      </c>
      <c r="K48" t="n">
        <v>0</v>
      </c>
      <c r="L48" s="4" t="n">
        <v>8.84</v>
      </c>
      <c r="M48" s="4" t="n">
        <v>0</v>
      </c>
      <c r="N48" s="4" t="n">
        <v>0</v>
      </c>
      <c r="O48" s="4" t="n">
        <v>0</v>
      </c>
      <c r="P48">
        <f>VLOOKUP(G48,'GST + Invocie No'!$B$5:$Y$183,24,0)</f>
        <v/>
      </c>
    </row>
    <row r="49">
      <c r="A49" t="inlineStr">
        <is>
          <t>April,2025</t>
        </is>
      </c>
      <c r="B49" t="inlineStr">
        <is>
          <t>FACEBOOK INDIA ONLINE SERVICES PRIVATE LIMITED</t>
        </is>
      </c>
      <c r="C49" t="inlineStr">
        <is>
          <t>06AABCF5150G1ZZ</t>
        </is>
      </c>
      <c r="D49" t="inlineStr">
        <is>
          <t>Regular</t>
        </is>
      </c>
      <c r="E49" t="inlineStr">
        <is>
          <t>No</t>
        </is>
      </c>
      <c r="F49" t="inlineStr">
        <is>
          <t>ADS406-104359679</t>
        </is>
      </c>
      <c r="G49" t="inlineStr">
        <is>
          <t>AABCF5150G_ADS406-104359679</t>
        </is>
      </c>
      <c r="H49" s="7" t="n">
        <v>45773</v>
      </c>
      <c r="I49" s="4" t="n">
        <v>0.05</v>
      </c>
      <c r="J49" s="4" t="n">
        <v>0.04</v>
      </c>
      <c r="K49" t="n">
        <v>0</v>
      </c>
      <c r="L49" s="4" t="n">
        <v>0.01</v>
      </c>
      <c r="M49" s="4" t="n">
        <v>0</v>
      </c>
      <c r="N49" s="4" t="n">
        <v>0</v>
      </c>
      <c r="O49" s="4" t="n">
        <v>0</v>
      </c>
      <c r="P49">
        <f>VLOOKUP(G49,'GST + Invocie No'!$B$5:$Y$183,24,0)</f>
        <v/>
      </c>
    </row>
    <row r="50">
      <c r="A50" t="inlineStr">
        <is>
          <t>April,2025</t>
        </is>
      </c>
      <c r="B50" t="inlineStr">
        <is>
          <t>FACEBOOK INDIA ONLINE SERVICES PRIVATE LIMITED</t>
        </is>
      </c>
      <c r="C50" t="inlineStr">
        <is>
          <t>06AABCF5150G1ZZ</t>
        </is>
      </c>
      <c r="D50" t="inlineStr">
        <is>
          <t>Regular</t>
        </is>
      </c>
      <c r="E50" t="inlineStr">
        <is>
          <t>No</t>
        </is>
      </c>
      <c r="F50" t="inlineStr">
        <is>
          <t>ADS406-104368307</t>
        </is>
      </c>
      <c r="G50" t="inlineStr">
        <is>
          <t>AABCF5150G_ADS406-104368307</t>
        </is>
      </c>
      <c r="H50" s="7" t="n">
        <v>45776</v>
      </c>
      <c r="I50" s="4" t="n">
        <v>47.48</v>
      </c>
      <c r="J50" s="4" t="n">
        <v>40.24</v>
      </c>
      <c r="K50" t="n">
        <v>0</v>
      </c>
      <c r="L50" s="4" t="n">
        <v>7.24</v>
      </c>
      <c r="M50" s="4" t="n">
        <v>0</v>
      </c>
      <c r="N50" s="4" t="n">
        <v>0</v>
      </c>
      <c r="O50" s="4" t="n">
        <v>0</v>
      </c>
      <c r="P50">
        <f>VLOOKUP(G50,'GST + Invocie No'!$B$5:$Y$183,24,0)</f>
        <v/>
      </c>
    </row>
    <row r="51">
      <c r="A51" t="inlineStr">
        <is>
          <t>April,2025</t>
        </is>
      </c>
      <c r="B51" t="inlineStr">
        <is>
          <t>FACEBOOK INDIA ONLINE SERVICES PRIVATE LIMITED</t>
        </is>
      </c>
      <c r="C51" t="inlineStr">
        <is>
          <t>06AABCF5150G1ZZ</t>
        </is>
      </c>
      <c r="D51" t="inlineStr">
        <is>
          <t>Regular</t>
        </is>
      </c>
      <c r="E51" t="inlineStr">
        <is>
          <t>No</t>
        </is>
      </c>
      <c r="F51" t="inlineStr">
        <is>
          <t>ADS406-104371660</t>
        </is>
      </c>
      <c r="G51" t="inlineStr">
        <is>
          <t>AABCF5150G_ADS406-104371660</t>
        </is>
      </c>
      <c r="H51" s="7" t="n">
        <v>45777</v>
      </c>
      <c r="I51" s="4" t="n">
        <v>52.66</v>
      </c>
      <c r="J51" s="4" t="n">
        <v>44.63</v>
      </c>
      <c r="K51" t="n">
        <v>0</v>
      </c>
      <c r="L51" s="4" t="n">
        <v>8.029999999999999</v>
      </c>
      <c r="M51" s="4" t="n">
        <v>0</v>
      </c>
      <c r="N51" s="4" t="n">
        <v>0</v>
      </c>
      <c r="O51" s="4" t="n">
        <v>0</v>
      </c>
      <c r="P51">
        <f>VLOOKUP(G51,'GST + Invocie No'!$B$5:$Y$183,24,0)</f>
        <v/>
      </c>
    </row>
    <row r="52">
      <c r="A52" t="inlineStr">
        <is>
          <t>May,2025</t>
        </is>
      </c>
      <c r="B52" t="inlineStr">
        <is>
          <t>FACEBOOK INDIA ONLINE SERVICES PRIVATE LIMITED</t>
        </is>
      </c>
      <c r="C52" t="inlineStr">
        <is>
          <t>06AABCF5150G1ZZ</t>
        </is>
      </c>
      <c r="D52" t="inlineStr">
        <is>
          <t>Regular</t>
        </is>
      </c>
      <c r="E52" t="inlineStr">
        <is>
          <t>No</t>
        </is>
      </c>
      <c r="F52" t="inlineStr">
        <is>
          <t>ADS406-104380265</t>
        </is>
      </c>
      <c r="G52" t="inlineStr">
        <is>
          <t>AABCF5150G_ADS406-104380265</t>
        </is>
      </c>
      <c r="H52" s="7" t="n">
        <v>45780</v>
      </c>
      <c r="I52" s="4" t="n">
        <v>48.16</v>
      </c>
      <c r="J52" s="4" t="n">
        <v>40.81</v>
      </c>
      <c r="K52" t="n">
        <v>0</v>
      </c>
      <c r="L52" s="4" t="n">
        <v>7.35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t="inlineStr">
        <is>
          <t>May,2025</t>
        </is>
      </c>
      <c r="B53" t="inlineStr">
        <is>
          <t>FACEBOOK INDIA ONLINE SERVICES PRIVATE LIMITED</t>
        </is>
      </c>
      <c r="C53" t="inlineStr">
        <is>
          <t>06AABCF5150G1ZZ</t>
        </is>
      </c>
      <c r="D53" t="inlineStr">
        <is>
          <t>Regular</t>
        </is>
      </c>
      <c r="E53" t="inlineStr">
        <is>
          <t>No</t>
        </is>
      </c>
      <c r="F53" t="inlineStr">
        <is>
          <t>ADS406-104383153</t>
        </is>
      </c>
      <c r="G53" t="inlineStr">
        <is>
          <t>AABCF5150G_ADS406-104383153</t>
        </is>
      </c>
      <c r="H53" s="7" t="n">
        <v>45781</v>
      </c>
      <c r="I53" s="4" t="n">
        <v>52.32</v>
      </c>
      <c r="J53" s="4" t="n">
        <v>44.34</v>
      </c>
      <c r="K53" t="n">
        <v>0</v>
      </c>
      <c r="L53" s="4" t="n">
        <v>7.98</v>
      </c>
      <c r="M53" s="4" t="n">
        <v>0</v>
      </c>
      <c r="N53" s="4" t="n">
        <v>0</v>
      </c>
      <c r="O53" s="4" t="n">
        <v>0</v>
      </c>
      <c r="P53">
        <f>VLOOKUP(G53,'GST + Invocie No'!$B$5:$Y$183,24,0)</f>
        <v/>
      </c>
    </row>
    <row r="54">
      <c r="A54" t="inlineStr">
        <is>
          <t>May,2025</t>
        </is>
      </c>
      <c r="B54" t="inlineStr">
        <is>
          <t>FACEBOOK INDIA ONLINE SERVICES PRIVATE LIMITED</t>
        </is>
      </c>
      <c r="C54" t="inlineStr">
        <is>
          <t>06AABCF5150G1ZZ</t>
        </is>
      </c>
      <c r="D54" t="inlineStr">
        <is>
          <t>Regular</t>
        </is>
      </c>
      <c r="E54" t="inlineStr">
        <is>
          <t>No</t>
        </is>
      </c>
      <c r="F54" t="inlineStr">
        <is>
          <t>ADS406-104435085</t>
        </is>
      </c>
      <c r="G54" t="inlineStr">
        <is>
          <t>AABCF5150G_ADS406-104435085</t>
        </is>
      </c>
      <c r="H54" s="7" t="n">
        <v>45797</v>
      </c>
      <c r="I54" s="4" t="n">
        <v>8.74</v>
      </c>
      <c r="J54" s="4" t="n">
        <v>7.41</v>
      </c>
      <c r="K54" t="n">
        <v>0</v>
      </c>
      <c r="L54" s="4" t="n">
        <v>1.33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t="inlineStr">
        <is>
          <t>May,2025</t>
        </is>
      </c>
      <c r="B55" t="inlineStr">
        <is>
          <t>FACEBOOK INDIA ONLINE SERVICES PRIVATE LIMITED</t>
        </is>
      </c>
      <c r="C55" t="inlineStr">
        <is>
          <t>06AABCF5150G1ZZ</t>
        </is>
      </c>
      <c r="D55" t="inlineStr">
        <is>
          <t>Regular</t>
        </is>
      </c>
      <c r="E55" t="inlineStr">
        <is>
          <t>No</t>
        </is>
      </c>
      <c r="F55" t="inlineStr">
        <is>
          <t>ADS406-104438440</t>
        </is>
      </c>
      <c r="G55" t="inlineStr">
        <is>
          <t>AABCF5150G_ADS406-104438440</t>
        </is>
      </c>
      <c r="H55" s="7" t="n">
        <v>45798</v>
      </c>
      <c r="I55" s="4" t="n">
        <v>69.89</v>
      </c>
      <c r="J55" s="4" t="n">
        <v>59.23</v>
      </c>
      <c r="K55" t="n">
        <v>0</v>
      </c>
      <c r="L55" s="4" t="n">
        <v>10.66</v>
      </c>
      <c r="M55" s="4" t="n">
        <v>0</v>
      </c>
      <c r="N55" s="4" t="n">
        <v>0</v>
      </c>
      <c r="O55" s="4" t="n">
        <v>0</v>
      </c>
      <c r="P55">
        <f>VLOOKUP(G55,'GST + Invocie No'!$B$5:$Y$183,24,0)</f>
        <v/>
      </c>
    </row>
    <row r="56">
      <c r="A56" t="inlineStr">
        <is>
          <t>June,2025</t>
        </is>
      </c>
      <c r="B56" t="inlineStr">
        <is>
          <t>FACEBOOK INDIA ONLINE SERVICES PRIVATE LIMITED</t>
        </is>
      </c>
      <c r="C56" t="inlineStr">
        <is>
          <t>06AABCF5150G1ZZ</t>
        </is>
      </c>
      <c r="D56" t="inlineStr">
        <is>
          <t>Regular</t>
        </is>
      </c>
      <c r="E56" t="inlineStr">
        <is>
          <t>No</t>
        </is>
      </c>
      <c r="F56" t="inlineStr">
        <is>
          <t>ADS406-104485890</t>
        </is>
      </c>
      <c r="G56" t="inlineStr">
        <is>
          <t>AABCF5150G_ADS406-104485890</t>
        </is>
      </c>
      <c r="H56" s="7" t="n">
        <v>45812</v>
      </c>
      <c r="I56" s="4" t="n">
        <v>46.4</v>
      </c>
      <c r="J56" s="4" t="n">
        <v>39.32</v>
      </c>
      <c r="K56" t="n">
        <v>0</v>
      </c>
      <c r="L56" s="4" t="n">
        <v>7.08</v>
      </c>
      <c r="M56" s="4" t="n">
        <v>0</v>
      </c>
      <c r="N56" s="4" t="n">
        <v>0</v>
      </c>
      <c r="O56" s="4" t="n">
        <v>0</v>
      </c>
      <c r="P56">
        <f>VLOOKUP(G56,'GST + Invocie No'!$B$5:$Y$183,24,0)</f>
        <v/>
      </c>
    </row>
    <row r="57">
      <c r="A57" t="inlineStr">
        <is>
          <t>June,2025</t>
        </is>
      </c>
      <c r="B57" t="inlineStr">
        <is>
          <t>FACEBOOK INDIA ONLINE SERVICES PRIVATE LIMITED</t>
        </is>
      </c>
      <c r="C57" t="inlineStr">
        <is>
          <t>06AABCF5150G1ZZ</t>
        </is>
      </c>
      <c r="D57" t="inlineStr">
        <is>
          <t>Regular</t>
        </is>
      </c>
      <c r="E57" t="inlineStr">
        <is>
          <t>No</t>
        </is>
      </c>
      <c r="F57" t="inlineStr">
        <is>
          <t>ADS406-104489154</t>
        </is>
      </c>
      <c r="G57" t="inlineStr">
        <is>
          <t>AABCF5150G_ADS406-104489154</t>
        </is>
      </c>
      <c r="H57" s="7" t="n">
        <v>45813</v>
      </c>
      <c r="I57" s="4" t="n">
        <v>55.08</v>
      </c>
      <c r="J57" s="4" t="n">
        <v>46.68</v>
      </c>
      <c r="K57" t="n">
        <v>0</v>
      </c>
      <c r="L57" s="4" t="n">
        <v>8.4</v>
      </c>
      <c r="M57" s="4" t="n">
        <v>0</v>
      </c>
      <c r="N57" s="4" t="n">
        <v>0</v>
      </c>
      <c r="O57" s="4" t="n">
        <v>0</v>
      </c>
      <c r="P57">
        <f>VLOOKUP(G57,'GST + Invocie No'!$B$5:$Y$183,24,0)</f>
        <v/>
      </c>
    </row>
    <row r="58">
      <c r="A58" t="inlineStr">
        <is>
          <t>February,2026</t>
        </is>
      </c>
      <c r="B58" t="inlineStr">
        <is>
          <t>Genshi Solutions Private Limited</t>
        </is>
      </c>
      <c r="C58" t="inlineStr">
        <is>
          <t>06AAKCG3365R1ZX</t>
        </is>
      </c>
      <c r="D58" t="inlineStr">
        <is>
          <t>Regular</t>
        </is>
      </c>
      <c r="E58" t="inlineStr">
        <is>
          <t>No</t>
        </is>
      </c>
      <c r="F58" t="inlineStr">
        <is>
          <t>RC-3360</t>
        </is>
      </c>
      <c r="G58" t="inlineStr">
        <is>
          <t>AAKCG3365R_RC-3360</t>
        </is>
      </c>
      <c r="H58" s="7" t="n">
        <v>46027</v>
      </c>
      <c r="I58" s="4" t="n">
        <v>53100</v>
      </c>
      <c r="J58" s="4" t="n">
        <v>45000</v>
      </c>
      <c r="K58" t="n">
        <v>0</v>
      </c>
      <c r="L58" s="4" t="n">
        <v>8100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t="inlineStr">
        <is>
          <t>March,2026</t>
        </is>
      </c>
      <c r="B59" t="inlineStr">
        <is>
          <t>Genshi Solutions Private Limited</t>
        </is>
      </c>
      <c r="C59" t="inlineStr">
        <is>
          <t>06AAKCG3365R1ZX</t>
        </is>
      </c>
      <c r="D59" t="inlineStr">
        <is>
          <t>Regular</t>
        </is>
      </c>
      <c r="E59" t="inlineStr">
        <is>
          <t>No</t>
        </is>
      </c>
      <c r="F59" t="inlineStr">
        <is>
          <t>RC-3766</t>
        </is>
      </c>
      <c r="G59" t="inlineStr">
        <is>
          <t>AAKCG3365R_RC-3766</t>
        </is>
      </c>
      <c r="H59" s="7" t="n">
        <v>46055</v>
      </c>
      <c r="I59" s="4" t="n">
        <v>53100</v>
      </c>
      <c r="J59" s="4" t="n">
        <v>45000</v>
      </c>
      <c r="K59" t="n">
        <v>0</v>
      </c>
      <c r="L59" s="4" t="n">
        <v>8100</v>
      </c>
      <c r="M59" s="4" t="n">
        <v>0</v>
      </c>
      <c r="N59" s="4" t="n">
        <v>0</v>
      </c>
      <c r="O59" s="4" t="n">
        <v>0</v>
      </c>
      <c r="P59">
        <f>VLOOKUP(G59,'GST + Invocie No'!$B$5:$Y$183,24,0)</f>
        <v/>
      </c>
    </row>
    <row r="60">
      <c r="A60" t="inlineStr">
        <is>
          <t>March,2026</t>
        </is>
      </c>
      <c r="B60" t="inlineStr">
        <is>
          <t>Genshi Solutions Private Limited</t>
        </is>
      </c>
      <c r="C60" t="inlineStr">
        <is>
          <t>06AAKCG3365R1ZX</t>
        </is>
      </c>
      <c r="D60" t="inlineStr">
        <is>
          <t>Regular</t>
        </is>
      </c>
      <c r="E60" t="inlineStr">
        <is>
          <t>No</t>
        </is>
      </c>
      <c r="F60" t="inlineStr">
        <is>
          <t>RC-4223</t>
        </is>
      </c>
      <c r="G60" t="inlineStr">
        <is>
          <t>AAKCG3365R_RC-4223</t>
        </is>
      </c>
      <c r="H60" s="7" t="n">
        <v>46084</v>
      </c>
      <c r="I60" s="4" t="n">
        <v>53100</v>
      </c>
      <c r="J60" s="4" t="n">
        <v>45000</v>
      </c>
      <c r="K60" t="n">
        <v>0</v>
      </c>
      <c r="L60" s="4" t="n">
        <v>8100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t="inlineStr">
        <is>
          <t>March,2026</t>
        </is>
      </c>
      <c r="B61" t="inlineStr">
        <is>
          <t>Genshi Solutions Private Limited</t>
        </is>
      </c>
      <c r="C61" t="inlineStr">
        <is>
          <t>06AAKCG3365R1ZX</t>
        </is>
      </c>
      <c r="D61" t="inlineStr">
        <is>
          <t>Regular</t>
        </is>
      </c>
      <c r="E61" t="inlineStr">
        <is>
          <t>No</t>
        </is>
      </c>
      <c r="F61" t="inlineStr">
        <is>
          <t>RC-4546</t>
        </is>
      </c>
      <c r="G61" t="inlineStr">
        <is>
          <t>AAKCG3365R_RC-4546</t>
        </is>
      </c>
      <c r="H61" s="7" t="n">
        <v>46112</v>
      </c>
      <c r="I61" s="4" t="n">
        <v>53100</v>
      </c>
      <c r="J61" s="4" t="n">
        <v>45000</v>
      </c>
      <c r="K61" t="n">
        <v>0</v>
      </c>
      <c r="L61" s="4" t="n">
        <v>8100</v>
      </c>
      <c r="M61" s="4" t="n">
        <v>0</v>
      </c>
      <c r="N61" s="4" t="n">
        <v>0</v>
      </c>
      <c r="O61" s="4" t="n">
        <v>0</v>
      </c>
      <c r="P61">
        <f>VLOOKUP(G61,'GST + Invocie No'!$B$5:$Y$183,24,0)</f>
        <v/>
      </c>
    </row>
    <row r="62">
      <c r="A62" t="inlineStr">
        <is>
          <t>December,2025</t>
        </is>
      </c>
      <c r="B62" t="inlineStr">
        <is>
          <t>ICICI BANK LIMITED</t>
        </is>
      </c>
      <c r="C62" t="inlineStr">
        <is>
          <t>27AAACI1195H1ZM</t>
        </is>
      </c>
      <c r="D62" t="inlineStr">
        <is>
          <t>Regular</t>
        </is>
      </c>
      <c r="E62" t="inlineStr">
        <is>
          <t>No</t>
        </is>
      </c>
      <c r="F62" t="inlineStr">
        <is>
          <t>0138251355278901</t>
        </is>
      </c>
      <c r="G62" t="inlineStr">
        <is>
          <t>AAACI1195H_0138251355278901</t>
        </is>
      </c>
      <c r="H62" s="7" t="n">
        <v>46002</v>
      </c>
      <c r="I62" s="4" t="n">
        <v>2360</v>
      </c>
      <c r="J62" s="4" t="n">
        <v>2000</v>
      </c>
      <c r="K62" t="n">
        <v>0</v>
      </c>
      <c r="L62" s="4" t="n">
        <v>0</v>
      </c>
      <c r="M62" s="4" t="n">
        <v>180</v>
      </c>
      <c r="N62" s="4" t="n">
        <v>180</v>
      </c>
      <c r="O62" s="4" t="n">
        <v>0</v>
      </c>
      <c r="P62">
        <f>VLOOKUP(G62,'GST + Invocie No'!$B$5:$Y$183,24,0)</f>
        <v/>
      </c>
    </row>
    <row r="63">
      <c r="A63" t="inlineStr">
        <is>
          <t>February,2026</t>
        </is>
      </c>
      <c r="B63" t="inlineStr">
        <is>
          <t>ICICI BANK LIMITED</t>
        </is>
      </c>
      <c r="C63" t="inlineStr">
        <is>
          <t>27AAACI1195H1ZM</t>
        </is>
      </c>
      <c r="D63" t="inlineStr">
        <is>
          <t>Regular</t>
        </is>
      </c>
      <c r="E63" t="inlineStr">
        <is>
          <t>No</t>
        </is>
      </c>
      <c r="F63" t="inlineStr">
        <is>
          <t>0138261372750757</t>
        </is>
      </c>
      <c r="G63" t="inlineStr">
        <is>
          <t>AAACI1195H_0138261372750757</t>
        </is>
      </c>
      <c r="H63" s="7" t="n">
        <v>46058</v>
      </c>
      <c r="I63" s="4" t="n">
        <v>17.7</v>
      </c>
      <c r="J63" s="4" t="n">
        <v>15</v>
      </c>
      <c r="K63" t="n">
        <v>0</v>
      </c>
      <c r="L63" s="4" t="n">
        <v>0</v>
      </c>
      <c r="M63" s="4" t="n">
        <v>1.35</v>
      </c>
      <c r="N63" s="4" t="n">
        <v>1.35</v>
      </c>
      <c r="O63" s="4" t="n">
        <v>0</v>
      </c>
      <c r="P63">
        <f>VLOOKUP(G63,'GST + Invocie No'!$B$5:$Y$183,24,0)</f>
        <v/>
      </c>
    </row>
    <row r="64">
      <c r="A64" t="inlineStr">
        <is>
          <t>February,2026</t>
        </is>
      </c>
      <c r="B64" t="inlineStr">
        <is>
          <t>ICICI BANK LIMITED</t>
        </is>
      </c>
      <c r="C64" t="inlineStr">
        <is>
          <t>27AAACI1195H1ZM</t>
        </is>
      </c>
      <c r="D64" t="inlineStr">
        <is>
          <t>Regular</t>
        </is>
      </c>
      <c r="E64" t="inlineStr">
        <is>
          <t>No</t>
        </is>
      </c>
      <c r="F64" t="inlineStr">
        <is>
          <t>0138261384051212</t>
        </is>
      </c>
      <c r="G64" t="inlineStr">
        <is>
          <t>AAACI1195H_0138261384051212</t>
        </is>
      </c>
      <c r="H64" s="7" t="n">
        <v>46080</v>
      </c>
      <c r="I64" s="4" t="n">
        <v>529407</v>
      </c>
      <c r="J64" s="4" t="n">
        <v>448650</v>
      </c>
      <c r="K64" t="n">
        <v>0</v>
      </c>
      <c r="L64" s="4" t="n">
        <v>0</v>
      </c>
      <c r="M64" s="4" t="n">
        <v>40378.5</v>
      </c>
      <c r="N64" s="4" t="n">
        <v>40378.5</v>
      </c>
      <c r="O64" s="4" t="n">
        <v>0</v>
      </c>
      <c r="P64">
        <f>VLOOKUP(G64,'GST + Invocie No'!$B$5:$Y$183,24,0)</f>
        <v/>
      </c>
    </row>
    <row r="65">
      <c r="A65" t="inlineStr">
        <is>
          <t>February,2026</t>
        </is>
      </c>
      <c r="B65" t="inlineStr">
        <is>
          <t>ICICI BANK LIMITED</t>
        </is>
      </c>
      <c r="C65" t="inlineStr">
        <is>
          <t>27AAACI1195H1ZM</t>
        </is>
      </c>
      <c r="D65" t="inlineStr">
        <is>
          <t>Regular</t>
        </is>
      </c>
      <c r="E65" t="inlineStr">
        <is>
          <t>No</t>
        </is>
      </c>
      <c r="F65" t="inlineStr">
        <is>
          <t>0138261384181047</t>
        </is>
      </c>
      <c r="G65" t="inlineStr">
        <is>
          <t>AAACI1195H_0138261384181047</t>
        </is>
      </c>
      <c r="H65" s="7" t="n">
        <v>46081</v>
      </c>
      <c r="I65" s="4" t="n">
        <v>235764</v>
      </c>
      <c r="J65" s="4" t="n">
        <v>199800</v>
      </c>
      <c r="K65" t="n">
        <v>0</v>
      </c>
      <c r="L65" s="4" t="n">
        <v>0</v>
      </c>
      <c r="M65" s="4" t="n">
        <v>17982</v>
      </c>
      <c r="N65" s="4" t="n">
        <v>17982</v>
      </c>
      <c r="O65" s="4" t="n">
        <v>0</v>
      </c>
      <c r="P65">
        <f>VLOOKUP(G65,'GST + Invocie No'!$B$5:$Y$183,24,0)</f>
        <v/>
      </c>
    </row>
    <row r="66">
      <c r="A66" t="inlineStr">
        <is>
          <t>February,2026</t>
        </is>
      </c>
      <c r="B66" t="inlineStr">
        <is>
          <t>ICICI BANK LIMITED</t>
        </is>
      </c>
      <c r="C66" t="inlineStr">
        <is>
          <t>27AAACI1195H1ZM</t>
        </is>
      </c>
      <c r="D66" t="inlineStr">
        <is>
          <t>Regular</t>
        </is>
      </c>
      <c r="E66" t="inlineStr">
        <is>
          <t>No</t>
        </is>
      </c>
      <c r="F66" t="inlineStr">
        <is>
          <t>0138261384181210</t>
        </is>
      </c>
      <c r="G66" t="inlineStr">
        <is>
          <t>AAACI1195H_0138261384181210</t>
        </is>
      </c>
      <c r="H66" s="7" t="n">
        <v>46081</v>
      </c>
      <c r="I66" s="4" t="n">
        <v>236</v>
      </c>
      <c r="J66" s="4" t="n">
        <v>200</v>
      </c>
      <c r="K66" t="n">
        <v>0</v>
      </c>
      <c r="L66" s="4" t="n">
        <v>0</v>
      </c>
      <c r="M66" s="4" t="n">
        <v>18</v>
      </c>
      <c r="N66" s="4" t="n">
        <v>18</v>
      </c>
      <c r="O66" s="4" t="n">
        <v>0</v>
      </c>
      <c r="P66">
        <f>VLOOKUP(G66,'GST + Invocie No'!$B$5:$Y$183,24,0)</f>
        <v/>
      </c>
    </row>
    <row r="67">
      <c r="A67" t="inlineStr">
        <is>
          <t>March,2026</t>
        </is>
      </c>
      <c r="B67" t="inlineStr">
        <is>
          <t>ICICI BANK LIMITED</t>
        </is>
      </c>
      <c r="C67" t="inlineStr">
        <is>
          <t>27AAACI1195H1ZM</t>
        </is>
      </c>
      <c r="D67" t="inlineStr">
        <is>
          <t>Regular</t>
        </is>
      </c>
      <c r="E67" t="inlineStr">
        <is>
          <t>No</t>
        </is>
      </c>
      <c r="F67" t="inlineStr">
        <is>
          <t>0138261386221113</t>
        </is>
      </c>
      <c r="G67" t="inlineStr">
        <is>
          <t>AAACI1195H_0138261386221113</t>
        </is>
      </c>
      <c r="H67" s="7" t="n">
        <v>46088</v>
      </c>
      <c r="I67" s="4" t="n">
        <v>1.18</v>
      </c>
      <c r="J67" s="4" t="n">
        <v>1</v>
      </c>
      <c r="K67" t="n">
        <v>0</v>
      </c>
      <c r="L67" s="4" t="n">
        <v>0</v>
      </c>
      <c r="M67" s="4" t="n">
        <v>0.09</v>
      </c>
      <c r="N67" s="4" t="n">
        <v>0.09</v>
      </c>
      <c r="O67" s="4" t="n">
        <v>0</v>
      </c>
      <c r="P67">
        <f>VLOOKUP(G67,'GST + Invocie No'!$B$5:$Y$183,24,0)</f>
        <v/>
      </c>
    </row>
    <row r="68">
      <c r="A68" t="inlineStr">
        <is>
          <t>June,2025</t>
        </is>
      </c>
      <c r="B68" t="inlineStr">
        <is>
          <t>JINESH ENTERPRISES</t>
        </is>
      </c>
      <c r="C68" t="inlineStr">
        <is>
          <t>27AANFJ4391E1Z4</t>
        </is>
      </c>
      <c r="D68" t="inlineStr">
        <is>
          <t>Regular</t>
        </is>
      </c>
      <c r="E68" t="inlineStr">
        <is>
          <t>No</t>
        </is>
      </c>
      <c r="F68" t="inlineStr">
        <is>
          <t>J/25-26/660</t>
        </is>
      </c>
      <c r="G68" t="inlineStr">
        <is>
          <t>AANFJ4391E_J/25-26/660</t>
        </is>
      </c>
      <c r="H68" s="7" t="n">
        <v>45827</v>
      </c>
      <c r="I68" s="4" t="n">
        <v>8496</v>
      </c>
      <c r="J68" s="4" t="n">
        <v>7200</v>
      </c>
      <c r="K68" t="n">
        <v>0</v>
      </c>
      <c r="L68" s="4" t="n">
        <v>0</v>
      </c>
      <c r="M68" s="4" t="n">
        <v>648</v>
      </c>
      <c r="N68" s="4" t="n">
        <v>648</v>
      </c>
      <c r="O68" s="4" t="n">
        <v>0</v>
      </c>
      <c r="P68">
        <f>VLOOKUP(G68,'GST + Invocie No'!$B$5:$Y$183,24,0)</f>
        <v/>
      </c>
    </row>
    <row r="69">
      <c r="A69" t="inlineStr">
        <is>
          <t>February,2026</t>
        </is>
      </c>
      <c r="B69" t="inlineStr">
        <is>
          <t>Legal Entity Identifier India Limited</t>
        </is>
      </c>
      <c r="C69" t="inlineStr">
        <is>
          <t>27AACCL9508M1Z1</t>
        </is>
      </c>
      <c r="D69" t="inlineStr">
        <is>
          <t>Regular</t>
        </is>
      </c>
      <c r="E69" t="inlineStr">
        <is>
          <t>No</t>
        </is>
      </c>
      <c r="F69" t="inlineStr">
        <is>
          <t>IRG/2526/0028267</t>
        </is>
      </c>
      <c r="G69" t="inlineStr">
        <is>
          <t>AACCL9508M_IRG/2526/0028267</t>
        </is>
      </c>
      <c r="H69" s="7" t="n">
        <v>46078</v>
      </c>
      <c r="I69" s="4" t="n">
        <v>10207</v>
      </c>
      <c r="J69" s="4" t="n">
        <v>8650</v>
      </c>
      <c r="K69" t="n">
        <v>0</v>
      </c>
      <c r="L69" s="4" t="n">
        <v>0</v>
      </c>
      <c r="M69" s="4" t="n">
        <v>778.5</v>
      </c>
      <c r="N69" s="4" t="n">
        <v>778.5</v>
      </c>
      <c r="O69" s="4" t="n">
        <v>0</v>
      </c>
      <c r="P69">
        <f>VLOOKUP(G69,'GST + Invocie No'!$B$5:$Y$183,24,0)</f>
        <v/>
      </c>
    </row>
    <row r="70">
      <c r="A70" t="inlineStr">
        <is>
          <t>May,2025</t>
        </is>
      </c>
      <c r="B70" t="inlineStr">
        <is>
          <t>MATHIA &amp; CO.</t>
        </is>
      </c>
      <c r="C70" t="inlineStr">
        <is>
          <t>27AAWFM3818Q1Z9</t>
        </is>
      </c>
      <c r="D70" t="inlineStr">
        <is>
          <t>Regular</t>
        </is>
      </c>
      <c r="E70" t="inlineStr">
        <is>
          <t>No</t>
        </is>
      </c>
      <c r="F70" t="inlineStr">
        <is>
          <t>MCO25-26794</t>
        </is>
      </c>
      <c r="G70" t="inlineStr">
        <is>
          <t>AAWFM3818Q_MCO25-26794</t>
        </is>
      </c>
      <c r="H70" s="7" t="n">
        <v>45797</v>
      </c>
      <c r="I70" s="4" t="n">
        <v>39825</v>
      </c>
      <c r="J70" s="4" t="n">
        <v>33750</v>
      </c>
      <c r="K70" t="n">
        <v>0</v>
      </c>
      <c r="L70" s="4" t="n">
        <v>0</v>
      </c>
      <c r="M70" s="4" t="n">
        <v>3037.5</v>
      </c>
      <c r="N70" s="4" t="n">
        <v>3037.5</v>
      </c>
      <c r="O70" s="4" t="n">
        <v>0</v>
      </c>
      <c r="P70">
        <f>VLOOKUP(G70,'GST + Invocie No'!$B$5:$Y$183,24,0)</f>
        <v/>
      </c>
    </row>
    <row r="71">
      <c r="A71" t="inlineStr">
        <is>
          <t>June,2025</t>
        </is>
      </c>
      <c r="B71" t="inlineStr">
        <is>
          <t>MATHIA &amp; CO.</t>
        </is>
      </c>
      <c r="C71" t="inlineStr">
        <is>
          <t>27AAWFM3818Q1Z9</t>
        </is>
      </c>
      <c r="D71" t="inlineStr">
        <is>
          <t>Regular</t>
        </is>
      </c>
      <c r="E71" t="inlineStr">
        <is>
          <t>No</t>
        </is>
      </c>
      <c r="F71" t="inlineStr">
        <is>
          <t>MCO2526838</t>
        </is>
      </c>
      <c r="G71" t="inlineStr">
        <is>
          <t>AAWFM3818Q_MCO2526838</t>
        </is>
      </c>
      <c r="H71" s="7" t="n">
        <v>45820</v>
      </c>
      <c r="I71" s="4" t="n">
        <v>39825</v>
      </c>
      <c r="J71" s="4" t="n">
        <v>33750</v>
      </c>
      <c r="K71" t="n">
        <v>0</v>
      </c>
      <c r="L71" s="4" t="n">
        <v>0</v>
      </c>
      <c r="M71" s="4" t="n">
        <v>3037.5</v>
      </c>
      <c r="N71" s="4" t="n">
        <v>3037.5</v>
      </c>
      <c r="O71" s="4" t="n">
        <v>0</v>
      </c>
      <c r="P71">
        <f>VLOOKUP(G71,'GST + Invocie No'!$B$5:$Y$183,24,0)</f>
        <v/>
      </c>
    </row>
    <row r="72">
      <c r="A72" t="inlineStr">
        <is>
          <t>July,2025</t>
        </is>
      </c>
      <c r="B72" t="inlineStr">
        <is>
          <t>MATHIA &amp; CO.</t>
        </is>
      </c>
      <c r="C72" t="inlineStr">
        <is>
          <t>27AAWFM3818Q1Z9</t>
        </is>
      </c>
      <c r="D72" t="inlineStr">
        <is>
          <t>Regular</t>
        </is>
      </c>
      <c r="E72" t="inlineStr">
        <is>
          <t>No</t>
        </is>
      </c>
      <c r="F72" t="inlineStr">
        <is>
          <t>MCO2526856</t>
        </is>
      </c>
      <c r="G72" t="inlineStr">
        <is>
          <t>AAWFM3818Q_MCO2526856</t>
        </is>
      </c>
      <c r="H72" s="7" t="n">
        <v>45842</v>
      </c>
      <c r="I72" s="4" t="n">
        <v>39825</v>
      </c>
      <c r="J72" s="4" t="n">
        <v>33750</v>
      </c>
      <c r="K72" t="n">
        <v>0</v>
      </c>
      <c r="L72" s="4" t="n">
        <v>0</v>
      </c>
      <c r="M72" s="4" t="n">
        <v>3037.5</v>
      </c>
      <c r="N72" s="4" t="n">
        <v>3037.5</v>
      </c>
      <c r="O72" s="4" t="n">
        <v>0</v>
      </c>
      <c r="P72">
        <f>VLOOKUP(G72,'GST + Invocie No'!$B$5:$Y$183,24,0)</f>
        <v/>
      </c>
    </row>
    <row r="73">
      <c r="A73" t="inlineStr">
        <is>
          <t>August,2025</t>
        </is>
      </c>
      <c r="B73" t="inlineStr">
        <is>
          <t>MATHIA &amp; CO.</t>
        </is>
      </c>
      <c r="C73" t="inlineStr">
        <is>
          <t>27AAWFM3818Q1Z9</t>
        </is>
      </c>
      <c r="D73" t="inlineStr">
        <is>
          <t>Regular</t>
        </is>
      </c>
      <c r="E73" t="inlineStr">
        <is>
          <t>No</t>
        </is>
      </c>
      <c r="F73" t="inlineStr">
        <is>
          <t>MCO2526876</t>
        </is>
      </c>
      <c r="G73" t="inlineStr">
        <is>
          <t>AAWFM3818Q_MCO2526876</t>
        </is>
      </c>
      <c r="H73" s="7" t="n">
        <v>45870</v>
      </c>
      <c r="I73" s="4" t="n">
        <v>39825</v>
      </c>
      <c r="J73" s="4" t="n">
        <v>33750</v>
      </c>
      <c r="K73" t="n">
        <v>0</v>
      </c>
      <c r="L73" s="4" t="n">
        <v>0</v>
      </c>
      <c r="M73" s="4" t="n">
        <v>3037.5</v>
      </c>
      <c r="N73" s="4" t="n">
        <v>3037.5</v>
      </c>
      <c r="O73" s="4" t="n">
        <v>0</v>
      </c>
      <c r="P73">
        <f>VLOOKUP(G73,'GST + Invocie No'!$B$5:$Y$183,24,0)</f>
        <v/>
      </c>
    </row>
    <row r="74">
      <c r="A74" t="inlineStr">
        <is>
          <t>October,2025</t>
        </is>
      </c>
      <c r="B74" t="inlineStr">
        <is>
          <t>MATHIA &amp; CO.</t>
        </is>
      </c>
      <c r="C74" t="inlineStr">
        <is>
          <t>27AAWFM3818Q1Z9</t>
        </is>
      </c>
      <c r="D74" t="inlineStr">
        <is>
          <t>Regular</t>
        </is>
      </c>
      <c r="E74" t="inlineStr">
        <is>
          <t>No</t>
        </is>
      </c>
      <c r="F74" t="inlineStr">
        <is>
          <t>MCO2526965</t>
        </is>
      </c>
      <c r="G74" t="inlineStr">
        <is>
          <t>AAWFM3818Q_MCO2526965</t>
        </is>
      </c>
      <c r="H74" s="7" t="n">
        <v>45933</v>
      </c>
      <c r="I74" s="4" t="n">
        <v>39825</v>
      </c>
      <c r="J74" s="4" t="n">
        <v>33750</v>
      </c>
      <c r="K74" t="n">
        <v>0</v>
      </c>
      <c r="L74" s="4" t="n">
        <v>0</v>
      </c>
      <c r="M74" s="4" t="n">
        <v>3037.5</v>
      </c>
      <c r="N74" s="4" t="n">
        <v>3037.5</v>
      </c>
      <c r="O74" s="4" t="n">
        <v>0</v>
      </c>
      <c r="P74">
        <f>VLOOKUP(G74,'GST + Invocie No'!$B$5:$Y$183,24,0)</f>
        <v/>
      </c>
    </row>
    <row r="75">
      <c r="A75" t="inlineStr">
        <is>
          <t>November,2025</t>
        </is>
      </c>
      <c r="B75" t="inlineStr">
        <is>
          <t>MATHIA &amp; CO.</t>
        </is>
      </c>
      <c r="C75" t="inlineStr">
        <is>
          <t>27AAWFM3818Q1Z9</t>
        </is>
      </c>
      <c r="D75" t="inlineStr">
        <is>
          <t>Regular</t>
        </is>
      </c>
      <c r="E75" t="inlineStr">
        <is>
          <t>No</t>
        </is>
      </c>
      <c r="F75" t="inlineStr">
        <is>
          <t>MCO25261017</t>
        </is>
      </c>
      <c r="G75" t="inlineStr">
        <is>
          <t>AAWFM3818Q_MCO25261017</t>
        </is>
      </c>
      <c r="H75" s="7" t="n">
        <v>45964</v>
      </c>
      <c r="I75" s="4" t="n">
        <v>39825</v>
      </c>
      <c r="J75" s="4" t="n">
        <v>33750</v>
      </c>
      <c r="K75" t="n">
        <v>0</v>
      </c>
      <c r="L75" s="4" t="n">
        <v>0</v>
      </c>
      <c r="M75" s="4" t="n">
        <v>3037.5</v>
      </c>
      <c r="N75" s="4" t="n">
        <v>3037.5</v>
      </c>
      <c r="O75" s="4" t="n">
        <v>0</v>
      </c>
      <c r="P75">
        <f>VLOOKUP(G75,'GST + Invocie No'!$B$5:$Y$183,24,0)</f>
        <v/>
      </c>
    </row>
    <row r="76">
      <c r="A76" t="inlineStr">
        <is>
          <t>December,2025</t>
        </is>
      </c>
      <c r="B76" t="inlineStr">
        <is>
          <t>MATHIA &amp; CO.</t>
        </is>
      </c>
      <c r="C76" t="inlineStr">
        <is>
          <t>27AAWFM3818Q1Z9</t>
        </is>
      </c>
      <c r="D76" t="inlineStr">
        <is>
          <t>Regular</t>
        </is>
      </c>
      <c r="E76" t="inlineStr">
        <is>
          <t>No</t>
        </is>
      </c>
      <c r="F76" t="inlineStr">
        <is>
          <t>MCO25261055</t>
        </is>
      </c>
      <c r="G76" t="inlineStr">
        <is>
          <t>AAWFM3818Q_MCO25261055</t>
        </is>
      </c>
      <c r="H76" s="7" t="n">
        <v>45994</v>
      </c>
      <c r="I76" s="4" t="n">
        <v>39825</v>
      </c>
      <c r="J76" s="4" t="n">
        <v>33750</v>
      </c>
      <c r="K76" t="n">
        <v>0</v>
      </c>
      <c r="L76" s="4" t="n">
        <v>0</v>
      </c>
      <c r="M76" s="4" t="n">
        <v>3037.5</v>
      </c>
      <c r="N76" s="4" t="n">
        <v>3037.5</v>
      </c>
      <c r="O76" s="4" t="n">
        <v>0</v>
      </c>
      <c r="P76">
        <f>VLOOKUP(G76,'GST + Invocie No'!$B$5:$Y$183,24,0)</f>
        <v/>
      </c>
    </row>
    <row r="77">
      <c r="A77" t="inlineStr">
        <is>
          <t>January,2026</t>
        </is>
      </c>
      <c r="B77" t="inlineStr">
        <is>
          <t>MATHIA &amp; CO.</t>
        </is>
      </c>
      <c r="C77" t="inlineStr">
        <is>
          <t>27AAWFM3818Q1Z9</t>
        </is>
      </c>
      <c r="D77" t="inlineStr">
        <is>
          <t>Regular</t>
        </is>
      </c>
      <c r="E77" t="inlineStr">
        <is>
          <t>No</t>
        </is>
      </c>
      <c r="F77" t="inlineStr">
        <is>
          <t>MCO25261086</t>
        </is>
      </c>
      <c r="G77" t="inlineStr">
        <is>
          <t>AAWFM3818Q_MCO25261086</t>
        </is>
      </c>
      <c r="H77" s="7" t="n">
        <v>46024</v>
      </c>
      <c r="I77" s="4" t="n">
        <v>39825</v>
      </c>
      <c r="J77" s="4" t="n">
        <v>33750</v>
      </c>
      <c r="K77" t="n">
        <v>0</v>
      </c>
      <c r="L77" s="4" t="n">
        <v>0</v>
      </c>
      <c r="M77" s="4" t="n">
        <v>3037.5</v>
      </c>
      <c r="N77" s="4" t="n">
        <v>3037.5</v>
      </c>
      <c r="O77" s="4" t="n">
        <v>0</v>
      </c>
      <c r="P77">
        <f>VLOOKUP(G77,'GST + Invocie No'!$B$5:$Y$183,24,0)</f>
        <v/>
      </c>
    </row>
    <row r="78">
      <c r="A78" t="inlineStr">
        <is>
          <t>February,2026</t>
        </is>
      </c>
      <c r="B78" t="inlineStr">
        <is>
          <t>MATHIA &amp; CO.</t>
        </is>
      </c>
      <c r="C78" t="inlineStr">
        <is>
          <t>27AAWFM3818Q1Z9</t>
        </is>
      </c>
      <c r="D78" t="inlineStr">
        <is>
          <t>Regular</t>
        </is>
      </c>
      <c r="E78" t="inlineStr">
        <is>
          <t>No</t>
        </is>
      </c>
      <c r="F78" t="inlineStr">
        <is>
          <t>MCO25261116</t>
        </is>
      </c>
      <c r="G78" t="inlineStr">
        <is>
          <t>AAWFM3818Q_MCO25261116</t>
        </is>
      </c>
      <c r="H78" s="7" t="n">
        <v>46055</v>
      </c>
      <c r="I78" s="4" t="n">
        <v>39825</v>
      </c>
      <c r="J78" s="4" t="n">
        <v>33750</v>
      </c>
      <c r="K78" t="n">
        <v>0</v>
      </c>
      <c r="L78" s="4" t="n">
        <v>0</v>
      </c>
      <c r="M78" s="4" t="n">
        <v>3037.5</v>
      </c>
      <c r="N78" s="4" t="n">
        <v>3037.5</v>
      </c>
      <c r="O78" s="4" t="n">
        <v>0</v>
      </c>
      <c r="P78">
        <f>VLOOKUP(G78,'GST + Invocie No'!$B$5:$Y$183,24,0)</f>
        <v/>
      </c>
    </row>
    <row r="79">
      <c r="A79" t="inlineStr">
        <is>
          <t>March,2026</t>
        </is>
      </c>
      <c r="B79" t="inlineStr">
        <is>
          <t>MATHIA &amp; CO.</t>
        </is>
      </c>
      <c r="C79" t="inlineStr">
        <is>
          <t>27AAWFM3818Q1Z9</t>
        </is>
      </c>
      <c r="D79" t="inlineStr">
        <is>
          <t>Regular</t>
        </is>
      </c>
      <c r="E79" t="inlineStr">
        <is>
          <t>No</t>
        </is>
      </c>
      <c r="F79" t="inlineStr">
        <is>
          <t>MCO25261216</t>
        </is>
      </c>
      <c r="G79" t="inlineStr">
        <is>
          <t>AAWFM3818Q_MCO25261216</t>
        </is>
      </c>
      <c r="H79" s="7" t="n">
        <v>46085</v>
      </c>
      <c r="I79" s="4" t="n">
        <v>39825</v>
      </c>
      <c r="J79" s="4" t="n">
        <v>33750</v>
      </c>
      <c r="K79" t="n">
        <v>0</v>
      </c>
      <c r="L79" s="4" t="n">
        <v>0</v>
      </c>
      <c r="M79" s="4" t="n">
        <v>3037.5</v>
      </c>
      <c r="N79" s="4" t="n">
        <v>3037.5</v>
      </c>
      <c r="O79" s="4" t="n">
        <v>0</v>
      </c>
      <c r="P79">
        <f>VLOOKUP(G79,'GST + Invocie No'!$B$5:$Y$183,24,0)</f>
        <v/>
      </c>
    </row>
    <row r="80">
      <c r="A80" t="inlineStr">
        <is>
          <t>February,2026</t>
        </is>
      </c>
      <c r="B80" t="inlineStr">
        <is>
          <t>MATHIA AND CO</t>
        </is>
      </c>
      <c r="C80" t="inlineStr">
        <is>
          <t>07AAWFM3818Q1ZB</t>
        </is>
      </c>
      <c r="D80" t="inlineStr">
        <is>
          <t>Regular</t>
        </is>
      </c>
      <c r="E80" t="inlineStr">
        <is>
          <t>No</t>
        </is>
      </c>
      <c r="F80" t="inlineStr">
        <is>
          <t>MCO-D252651</t>
        </is>
      </c>
      <c r="G80" t="inlineStr">
        <is>
          <t>AAWFM3818Q_MCO-D252651</t>
        </is>
      </c>
      <c r="H80" s="7" t="n">
        <v>46072</v>
      </c>
      <c r="I80" s="4" t="n">
        <v>295000</v>
      </c>
      <c r="J80" s="4" t="n">
        <v>250000</v>
      </c>
      <c r="K80" t="n">
        <v>0</v>
      </c>
      <c r="L80" s="4" t="n">
        <v>45000</v>
      </c>
      <c r="M80" s="4" t="n">
        <v>0</v>
      </c>
      <c r="N80" s="4" t="n">
        <v>0</v>
      </c>
      <c r="O80" s="4" t="n">
        <v>0</v>
      </c>
      <c r="P80">
        <f>VLOOKUP(G80,'GST + Invocie No'!$B$5:$Y$183,24,0)</f>
        <v/>
      </c>
    </row>
    <row r="81">
      <c r="A81" t="inlineStr">
        <is>
          <t>August,2025</t>
        </is>
      </c>
      <c r="B81" t="inlineStr">
        <is>
          <t>Mobeep Communications Private Limited</t>
        </is>
      </c>
      <c r="C81" t="inlineStr">
        <is>
          <t>23AAQCM8669N1ZG</t>
        </is>
      </c>
      <c r="D81" t="inlineStr">
        <is>
          <t>Regular</t>
        </is>
      </c>
      <c r="E81" t="inlineStr">
        <is>
          <t>No</t>
        </is>
      </c>
      <c r="F81" t="inlineStr">
        <is>
          <t>MCPL/25-26/20</t>
        </is>
      </c>
      <c r="G81" t="inlineStr">
        <is>
          <t>AAQCM8669N_MCPL/25-26/20</t>
        </is>
      </c>
      <c r="H81" s="7" t="n">
        <v>45895</v>
      </c>
      <c r="I81" s="4" t="n">
        <v>1809288</v>
      </c>
      <c r="J81" s="4" t="n">
        <v>1533295</v>
      </c>
      <c r="K81" t="n">
        <v>0</v>
      </c>
      <c r="L81" s="4" t="n">
        <v>275993.1</v>
      </c>
      <c r="M81" s="4" t="n">
        <v>0</v>
      </c>
      <c r="N81" s="4" t="n">
        <v>0</v>
      </c>
      <c r="O81" s="4" t="n">
        <v>0</v>
      </c>
      <c r="P81">
        <f>VLOOKUP(G81,'GST + Invocie No'!$B$5:$Y$183,24,0)</f>
        <v/>
      </c>
    </row>
    <row r="82">
      <c r="A82" t="inlineStr">
        <is>
          <t>September,2025</t>
        </is>
      </c>
      <c r="B82" t="inlineStr">
        <is>
          <t>Mobeep Communications Private Limited</t>
        </is>
      </c>
      <c r="C82" t="inlineStr">
        <is>
          <t>23AAQCM8669N1ZG</t>
        </is>
      </c>
      <c r="D82" t="inlineStr">
        <is>
          <t>Regular</t>
        </is>
      </c>
      <c r="E82" t="inlineStr">
        <is>
          <t>No</t>
        </is>
      </c>
      <c r="F82" t="inlineStr">
        <is>
          <t>MCPL/25-26/24</t>
        </is>
      </c>
      <c r="G82" t="inlineStr">
        <is>
          <t>AAQCM8669N_MCPL/25-26/24</t>
        </is>
      </c>
      <c r="H82" s="7" t="n">
        <v>45901</v>
      </c>
      <c r="I82" s="4" t="n">
        <v>612930</v>
      </c>
      <c r="J82" s="4" t="n">
        <v>519432.16</v>
      </c>
      <c r="K82" t="n">
        <v>0</v>
      </c>
      <c r="L82" s="4" t="n">
        <v>93498</v>
      </c>
      <c r="M82" s="4" t="n">
        <v>0</v>
      </c>
      <c r="N82" s="4" t="n">
        <v>0</v>
      </c>
      <c r="O82" s="4" t="n">
        <v>0</v>
      </c>
      <c r="P82">
        <f>VLOOKUP(G82,'GST + Invocie No'!$B$5:$Y$183,24,0)</f>
        <v/>
      </c>
    </row>
    <row r="83">
      <c r="A83" t="inlineStr">
        <is>
          <t>December,2025</t>
        </is>
      </c>
      <c r="B83" t="inlineStr">
        <is>
          <t>Mobeep Communications Private Limited</t>
        </is>
      </c>
      <c r="C83" t="inlineStr">
        <is>
          <t>23AAQCM8669N1ZG</t>
        </is>
      </c>
      <c r="D83" t="inlineStr">
        <is>
          <t>Regular</t>
        </is>
      </c>
      <c r="E83" t="inlineStr">
        <is>
          <t>No</t>
        </is>
      </c>
      <c r="F83" t="inlineStr">
        <is>
          <t>MCPL/25-26/34</t>
        </is>
      </c>
      <c r="G83" t="inlineStr">
        <is>
          <t>AAQCM8669N_MCPL/25-26/34</t>
        </is>
      </c>
      <c r="H83" s="7" t="n">
        <v>45931</v>
      </c>
      <c r="I83" s="4" t="n">
        <v>688328</v>
      </c>
      <c r="J83" s="4" t="n">
        <v>583328.28</v>
      </c>
      <c r="K83" t="n">
        <v>0</v>
      </c>
      <c r="L83" s="4" t="n">
        <v>105000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t="inlineStr">
        <is>
          <t>November,2025</t>
        </is>
      </c>
      <c r="B84" t="inlineStr">
        <is>
          <t>Mobeep Communications Private Limited</t>
        </is>
      </c>
      <c r="C84" t="inlineStr">
        <is>
          <t>23AAQCM8669N1ZG</t>
        </is>
      </c>
      <c r="D84" t="inlineStr">
        <is>
          <t>Regular</t>
        </is>
      </c>
      <c r="E84" t="inlineStr">
        <is>
          <t>No</t>
        </is>
      </c>
      <c r="F84" t="inlineStr">
        <is>
          <t>MCPL/25-26/41</t>
        </is>
      </c>
      <c r="G84" t="inlineStr">
        <is>
          <t>AAQCM8669N_MCPL/25-26/41</t>
        </is>
      </c>
      <c r="H84" s="7" t="n">
        <v>45962</v>
      </c>
      <c r="I84" s="4" t="n">
        <v>550065</v>
      </c>
      <c r="J84" s="4" t="n">
        <v>466156.48</v>
      </c>
      <c r="K84" t="n">
        <v>0</v>
      </c>
      <c r="L84" s="4" t="n">
        <v>83909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t="inlineStr">
        <is>
          <t>December,2025</t>
        </is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Regular</t>
        </is>
      </c>
      <c r="E85" t="inlineStr">
        <is>
          <t>No</t>
        </is>
      </c>
      <c r="F85" t="inlineStr">
        <is>
          <t>MCPL/25-26/49</t>
        </is>
      </c>
      <c r="G85" t="inlineStr">
        <is>
          <t>AAQCM8669N_MCPL/25-26/49</t>
        </is>
      </c>
      <c r="H85" s="7" t="n">
        <v>45992</v>
      </c>
      <c r="I85" s="4" t="n">
        <v>317270</v>
      </c>
      <c r="J85" s="4" t="n">
        <v>268872.39</v>
      </c>
      <c r="K85" t="n">
        <v>0</v>
      </c>
      <c r="L85" s="4" t="n">
        <v>48398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t="inlineStr">
        <is>
          <t>January,2026</t>
        </is>
      </c>
      <c r="B86" t="inlineStr">
        <is>
          <t>Mobeep Communications Private Limited</t>
        </is>
      </c>
      <c r="C86" t="inlineStr">
        <is>
          <t>23AAQCM8669N1ZG</t>
        </is>
      </c>
      <c r="D86" t="inlineStr">
        <is>
          <t>Regular</t>
        </is>
      </c>
      <c r="E86" t="inlineStr">
        <is>
          <t>No</t>
        </is>
      </c>
      <c r="F86" t="inlineStr">
        <is>
          <t>MCPL/25-26/55</t>
        </is>
      </c>
      <c r="G86" t="inlineStr">
        <is>
          <t>AAQCM8669N_MCPL/25-26/55</t>
        </is>
      </c>
      <c r="H86" s="7" t="n">
        <v>46023</v>
      </c>
      <c r="I86" s="4" t="n">
        <v>638252</v>
      </c>
      <c r="J86" s="4" t="n">
        <v>540890.7</v>
      </c>
      <c r="K86" t="n">
        <v>0</v>
      </c>
      <c r="L86" s="4" t="n">
        <v>97361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t="inlineStr">
        <is>
          <t>February,2026</t>
        </is>
      </c>
      <c r="B87" t="inlineStr">
        <is>
          <t>Mobeep Communications Private Limited</t>
        </is>
      </c>
      <c r="C87" t="inlineStr">
        <is>
          <t>23AAQCM8669N1ZG</t>
        </is>
      </c>
      <c r="D87" t="inlineStr">
        <is>
          <t>Regular</t>
        </is>
      </c>
      <c r="E87" t="inlineStr">
        <is>
          <t>No</t>
        </is>
      </c>
      <c r="F87" t="inlineStr">
        <is>
          <t>MCPL/25-26/63</t>
        </is>
      </c>
      <c r="G87" t="inlineStr">
        <is>
          <t>AAQCM8669N_MCPL/25-26/63</t>
        </is>
      </c>
      <c r="H87" s="7" t="n">
        <v>46055</v>
      </c>
      <c r="I87" s="4" t="n">
        <v>46400</v>
      </c>
      <c r="J87" s="4" t="n">
        <v>39322.06</v>
      </c>
      <c r="K87" t="n">
        <v>0</v>
      </c>
      <c r="L87" s="4" t="n">
        <v>7078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t="inlineStr">
        <is>
          <t>March,2026</t>
        </is>
      </c>
      <c r="B88" t="inlineStr">
        <is>
          <t>Mobeep Communications Private Limited</t>
        </is>
      </c>
      <c r="C88" t="inlineStr">
        <is>
          <t>23AAQCM8669N1ZG</t>
        </is>
      </c>
      <c r="D88" t="inlineStr">
        <is>
          <t>Regular</t>
        </is>
      </c>
      <c r="E88" t="inlineStr">
        <is>
          <t>No</t>
        </is>
      </c>
      <c r="F88" t="inlineStr">
        <is>
          <t>MCPL/25-26/69</t>
        </is>
      </c>
      <c r="G88" t="inlineStr">
        <is>
          <t>AAQCM8669N_MCPL/25-26/69</t>
        </is>
      </c>
      <c r="H88" s="7" t="n">
        <v>46083</v>
      </c>
      <c r="I88" s="4" t="n">
        <v>45980</v>
      </c>
      <c r="J88" s="4" t="n">
        <v>38965.63</v>
      </c>
      <c r="K88" t="n">
        <v>0</v>
      </c>
      <c r="L88" s="4" t="n">
        <v>7014</v>
      </c>
      <c r="M88" s="4" t="n">
        <v>0</v>
      </c>
      <c r="N88" s="4" t="n">
        <v>0</v>
      </c>
      <c r="O88" s="4" t="n">
        <v>0</v>
      </c>
      <c r="P88">
        <f>VLOOKUP(G88,'GST + Invocie No'!$B$5:$Y$183,24,0)</f>
        <v/>
      </c>
    </row>
    <row r="89">
      <c r="A89" t="inlineStr">
        <is>
          <t>March,2026</t>
        </is>
      </c>
      <c r="B89" t="inlineStr">
        <is>
          <t>Mobeep Communications Private Limited</t>
        </is>
      </c>
      <c r="C89" t="inlineStr">
        <is>
          <t>23AAQCM8669N1ZG</t>
        </is>
      </c>
      <c r="D89" t="inlineStr">
        <is>
          <t>Regular</t>
        </is>
      </c>
      <c r="E89" t="inlineStr">
        <is>
          <t>No</t>
        </is>
      </c>
      <c r="F89" t="inlineStr">
        <is>
          <t>MCPL/25-26/73</t>
        </is>
      </c>
      <c r="G89" t="inlineStr">
        <is>
          <t>AAQCM8669N_MCPL/25-26/73</t>
        </is>
      </c>
      <c r="H89" s="7" t="n">
        <v>46112</v>
      </c>
      <c r="I89" s="4" t="n">
        <v>45764</v>
      </c>
      <c r="J89" s="4" t="n">
        <v>38782.7</v>
      </c>
      <c r="K89" t="n">
        <v>0</v>
      </c>
      <c r="L89" s="4" t="n">
        <v>6981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t="inlineStr">
        <is>
          <t>April,2025</t>
        </is>
      </c>
      <c r="B90" t="inlineStr">
        <is>
          <t>NATIONAL SECURITIES DEPOSITORY LIMITED</t>
        </is>
      </c>
      <c r="C90" t="inlineStr">
        <is>
          <t>27AADCN9802F1ZG</t>
        </is>
      </c>
      <c r="D90" t="inlineStr">
        <is>
          <t>Regular</t>
        </is>
      </c>
      <c r="E90" t="inlineStr">
        <is>
          <t>No</t>
        </is>
      </c>
      <c r="F90" t="inlineStr">
        <is>
          <t>UCF/DT0425/56863</t>
        </is>
      </c>
      <c r="G90" t="inlineStr">
        <is>
          <t>AADCN9802F_UCF/DT0425/56863</t>
        </is>
      </c>
      <c r="H90" s="7" t="n">
        <v>45762</v>
      </c>
      <c r="I90" s="4" t="n">
        <v>5900</v>
      </c>
      <c r="J90" s="4" t="n">
        <v>5000</v>
      </c>
      <c r="K90" t="n">
        <v>0</v>
      </c>
      <c r="L90" s="4" t="n">
        <v>0</v>
      </c>
      <c r="M90" s="4" t="n">
        <v>450</v>
      </c>
      <c r="N90" s="4" t="n">
        <v>450</v>
      </c>
      <c r="O90" s="4" t="n">
        <v>0</v>
      </c>
      <c r="P90">
        <f>VLOOKUP(G90,'GST + Invocie No'!$B$5:$Y$183,24,0)</f>
        <v/>
      </c>
    </row>
    <row r="91">
      <c r="A91" t="inlineStr">
        <is>
          <t>December,2025</t>
        </is>
      </c>
      <c r="B91" t="inlineStr">
        <is>
          <t>ONEXTEL MEDIA PRIVATE LIMITED</t>
        </is>
      </c>
      <c r="C91" t="inlineStr">
        <is>
          <t>09AACCO0905F2ZR</t>
        </is>
      </c>
      <c r="D91" t="inlineStr">
        <is>
          <t>Regular</t>
        </is>
      </c>
      <c r="E91" t="inlineStr">
        <is>
          <t>No</t>
        </is>
      </c>
      <c r="F91" t="inlineStr">
        <is>
          <t>ONEX25-26/12/142</t>
        </is>
      </c>
      <c r="G91" t="inlineStr">
        <is>
          <t>AACCO0905F_ONEX25-26/12/142</t>
        </is>
      </c>
      <c r="H91" s="7" t="n">
        <v>45993</v>
      </c>
      <c r="I91" s="4" t="n">
        <v>41710175</v>
      </c>
      <c r="J91" s="4" t="n">
        <v>35347605.95</v>
      </c>
      <c r="K91" t="n">
        <v>0</v>
      </c>
      <c r="L91" s="4" t="n">
        <v>6362569.07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t="inlineStr">
        <is>
          <t>January,2026</t>
        </is>
      </c>
      <c r="B92" t="inlineStr">
        <is>
          <t>ONEXTEL MEDIA PRIVATE LIMITED</t>
        </is>
      </c>
      <c r="C92" t="inlineStr">
        <is>
          <t>09AACCO0905F2ZR</t>
        </is>
      </c>
      <c r="D92" t="inlineStr">
        <is>
          <t>Regular</t>
        </is>
      </c>
      <c r="E92" t="inlineStr">
        <is>
          <t>No</t>
        </is>
      </c>
      <c r="F92" t="inlineStr">
        <is>
          <t>ONEX25-26/01/211</t>
        </is>
      </c>
      <c r="G92" t="inlineStr">
        <is>
          <t>AACCO0905F_ONEX25-26/01/211</t>
        </is>
      </c>
      <c r="H92" s="7" t="n">
        <v>46029</v>
      </c>
      <c r="I92" s="4" t="n">
        <v>62690646</v>
      </c>
      <c r="J92" s="4" t="n">
        <v>53127666.41</v>
      </c>
      <c r="K92" t="n">
        <v>0</v>
      </c>
      <c r="L92" s="4" t="n">
        <v>9562979.960000001</v>
      </c>
      <c r="M92" s="4" t="n">
        <v>0</v>
      </c>
      <c r="N92" s="4" t="n">
        <v>0</v>
      </c>
      <c r="O92" s="4" t="n">
        <v>0</v>
      </c>
      <c r="P92">
        <f>VLOOKUP(G92,'GST + Invocie No'!$B$5:$Y$183,24,0)</f>
        <v/>
      </c>
    </row>
    <row r="93">
      <c r="A93" t="inlineStr">
        <is>
          <t>February,2026</t>
        </is>
      </c>
      <c r="B93" t="inlineStr">
        <is>
          <t>ONEXTEL MEDIA PRIVATE LIMITED</t>
        </is>
      </c>
      <c r="C93" t="inlineStr">
        <is>
          <t>09AACCO0905F2ZR</t>
        </is>
      </c>
      <c r="D93" t="inlineStr">
        <is>
          <t>Regular</t>
        </is>
      </c>
      <c r="E93" t="inlineStr">
        <is>
          <t>No</t>
        </is>
      </c>
      <c r="F93" t="inlineStr">
        <is>
          <t>ONEX25-26/02/236</t>
        </is>
      </c>
      <c r="G93" t="inlineStr">
        <is>
          <t>AACCO0905F_ONEX25-26/02/236</t>
        </is>
      </c>
      <c r="H93" s="7" t="n">
        <v>46070</v>
      </c>
      <c r="I93" s="4" t="n">
        <v>47812394</v>
      </c>
      <c r="J93" s="4" t="n">
        <v>40518978.05</v>
      </c>
      <c r="K93" t="n">
        <v>0</v>
      </c>
      <c r="L93" s="4" t="n">
        <v>7293416.05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t="inlineStr">
        <is>
          <t>March,2026</t>
        </is>
      </c>
      <c r="B94" t="inlineStr">
        <is>
          <t>ONEXTEL MEDIA PRIVATE LIMITED</t>
        </is>
      </c>
      <c r="C94" t="inlineStr">
        <is>
          <t>09AACCO0905F2ZR</t>
        </is>
      </c>
      <c r="D94" t="inlineStr">
        <is>
          <t>Regular</t>
        </is>
      </c>
      <c r="E94" t="inlineStr">
        <is>
          <t>No</t>
        </is>
      </c>
      <c r="F94" t="inlineStr">
        <is>
          <t>ONEX25-26/03/246</t>
        </is>
      </c>
      <c r="G94" t="inlineStr">
        <is>
          <t>AACCO0905F_ONEX25-26/03/246</t>
        </is>
      </c>
      <c r="H94" s="7" t="n">
        <v>46094</v>
      </c>
      <c r="I94" s="4" t="n">
        <v>49994484</v>
      </c>
      <c r="J94" s="4" t="n">
        <v>42368207.19</v>
      </c>
      <c r="K94" t="n">
        <v>0</v>
      </c>
      <c r="L94" s="4" t="n">
        <v>7626277.3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t="inlineStr">
        <is>
          <t>March,2026</t>
        </is>
      </c>
      <c r="B95" t="inlineStr">
        <is>
          <t>ONEXTEL MEDIA PRIVATE LIMITED</t>
        </is>
      </c>
      <c r="C95" t="inlineStr">
        <is>
          <t>09AACCO0905F2ZR</t>
        </is>
      </c>
      <c r="D95" t="inlineStr">
        <is>
          <t>Regular</t>
        </is>
      </c>
      <c r="E95" t="inlineStr">
        <is>
          <t>No</t>
        </is>
      </c>
      <c r="F95" t="inlineStr">
        <is>
          <t>ONEX25-26/03/369</t>
        </is>
      </c>
      <c r="G95" t="inlineStr">
        <is>
          <t>AACCO0905F_ONEX25-26/03/369</t>
        </is>
      </c>
      <c r="H95" s="7" t="n">
        <v>46112</v>
      </c>
      <c r="I95" s="4" t="n">
        <v>47203797</v>
      </c>
      <c r="J95" s="4" t="n">
        <v>40003217.85</v>
      </c>
      <c r="K95" t="n">
        <v>0</v>
      </c>
      <c r="L95" s="4" t="n">
        <v>7200579.21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t="inlineStr">
        <is>
          <t>April,2025</t>
        </is>
      </c>
      <c r="B96" t="inlineStr">
        <is>
          <t>PROACTIVE PROFESSIONAL SERVICES PRIVATE LIMITED</t>
        </is>
      </c>
      <c r="C96" t="inlineStr">
        <is>
          <t>08AAECP9085D2Z5</t>
        </is>
      </c>
      <c r="D96" t="inlineStr">
        <is>
          <t>Regular</t>
        </is>
      </c>
      <c r="E96" t="inlineStr">
        <is>
          <t>No</t>
        </is>
      </c>
      <c r="F96" t="inlineStr">
        <is>
          <t>PPSPL/25-26/0011</t>
        </is>
      </c>
      <c r="G96" t="inlineStr">
        <is>
          <t>AAECP9085D_PPSPL/25-26/0011</t>
        </is>
      </c>
      <c r="H96" s="7" t="n">
        <v>45750</v>
      </c>
      <c r="I96" s="4" t="n">
        <v>2986598</v>
      </c>
      <c r="J96" s="4" t="n">
        <v>2531014.93</v>
      </c>
      <c r="K96" t="n">
        <v>0</v>
      </c>
      <c r="L96" s="4" t="n">
        <v>455582.69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t="inlineStr">
        <is>
          <t>May,2025</t>
        </is>
      </c>
      <c r="B97" t="inlineStr">
        <is>
          <t>PROACTIVE PROFESSIONAL SERVICES PRIVATE LIMITED</t>
        </is>
      </c>
      <c r="C97" t="inlineStr">
        <is>
          <t>08AAECP9085D2Z5</t>
        </is>
      </c>
      <c r="D97" t="inlineStr">
        <is>
          <t>Regular</t>
        </is>
      </c>
      <c r="E97" t="inlineStr">
        <is>
          <t>No</t>
        </is>
      </c>
      <c r="F97" t="inlineStr">
        <is>
          <t>PPSPL/25-26/0114</t>
        </is>
      </c>
      <c r="G97" t="inlineStr">
        <is>
          <t>AAECP9085D_PPSPL/25-26/0114</t>
        </is>
      </c>
      <c r="H97" s="7" t="n">
        <v>45783</v>
      </c>
      <c r="I97" s="4" t="n">
        <v>3429262</v>
      </c>
      <c r="J97" s="4" t="n">
        <v>2906154.11</v>
      </c>
      <c r="K97" t="n">
        <v>0</v>
      </c>
      <c r="L97" s="4" t="n">
        <v>523107.74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t="inlineStr">
        <is>
          <t>June,2025</t>
        </is>
      </c>
      <c r="B98" t="inlineStr">
        <is>
          <t>PROACTIVE PROFESSIONAL SERVICES PRIVATE LIMITED</t>
        </is>
      </c>
      <c r="C98" t="inlineStr">
        <is>
          <t>08AAECP9085D2Z5</t>
        </is>
      </c>
      <c r="D98" t="inlineStr">
        <is>
          <t>Regular</t>
        </is>
      </c>
      <c r="E98" t="inlineStr">
        <is>
          <t>No</t>
        </is>
      </c>
      <c r="F98" t="inlineStr">
        <is>
          <t>PPSPL/25-26/0212</t>
        </is>
      </c>
      <c r="G98" t="inlineStr">
        <is>
          <t>AAECP9085D_PPSPL/25-26/0212</t>
        </is>
      </c>
      <c r="H98" s="7" t="n">
        <v>45814</v>
      </c>
      <c r="I98" s="4" t="n">
        <v>93050</v>
      </c>
      <c r="J98" s="4" t="n">
        <v>78856.03</v>
      </c>
      <c r="K98" t="n">
        <v>0</v>
      </c>
      <c r="L98" s="4" t="n">
        <v>14194.09</v>
      </c>
      <c r="M98" s="4" t="n">
        <v>0</v>
      </c>
      <c r="N98" s="4" t="n">
        <v>0</v>
      </c>
      <c r="O98" s="4" t="n">
        <v>0</v>
      </c>
      <c r="P98">
        <f>VLOOKUP(G98,'GST + Invocie No'!$B$5:$Y$183,24,0)</f>
        <v/>
      </c>
    </row>
    <row r="99">
      <c r="A99" t="inlineStr">
        <is>
          <t>July,2025</t>
        </is>
      </c>
      <c r="B99" t="inlineStr">
        <is>
          <t>PROACTIVE PROFESSIONAL SERVICES PRIVATE LIMITED</t>
        </is>
      </c>
      <c r="C99" t="inlineStr">
        <is>
          <t>08AAECP9085D2Z5</t>
        </is>
      </c>
      <c r="D99" t="inlineStr">
        <is>
          <t>Regular</t>
        </is>
      </c>
      <c r="E99" t="inlineStr">
        <is>
          <t>No</t>
        </is>
      </c>
      <c r="F99" t="inlineStr">
        <is>
          <t>PPSPL/25-26/0357</t>
        </is>
      </c>
      <c r="G99" t="inlineStr">
        <is>
          <t>AAECP9085D_PPSPL/25-26/0357</t>
        </is>
      </c>
      <c r="H99" s="7" t="n">
        <v>45856</v>
      </c>
      <c r="I99" s="4" t="n">
        <v>447618</v>
      </c>
      <c r="J99" s="4" t="n">
        <v>379337.12</v>
      </c>
      <c r="K99" t="n">
        <v>0</v>
      </c>
      <c r="L99" s="4" t="n">
        <v>68280.67999999999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t="inlineStr">
        <is>
          <t>August,2025</t>
        </is>
      </c>
      <c r="B100" t="inlineStr">
        <is>
          <t>PROACTIVE PROFESSIONAL SERVICES PRIVATE LIMITED</t>
        </is>
      </c>
      <c r="C100" t="inlineStr">
        <is>
          <t>08AAECP9085D2Z5</t>
        </is>
      </c>
      <c r="D100" t="inlineStr">
        <is>
          <t>Regular</t>
        </is>
      </c>
      <c r="E100" t="inlineStr">
        <is>
          <t>No</t>
        </is>
      </c>
      <c r="F100" t="inlineStr">
        <is>
          <t>PPSPL/25-26/0415</t>
        </is>
      </c>
      <c r="G100" t="inlineStr">
        <is>
          <t>AAECP9085D_PPSPL/25-26/0415</t>
        </is>
      </c>
      <c r="H100" s="7" t="n">
        <v>45876</v>
      </c>
      <c r="I100" s="4" t="n">
        <v>28051</v>
      </c>
      <c r="J100" s="4" t="n">
        <v>23771.76</v>
      </c>
      <c r="K100" t="n">
        <v>0</v>
      </c>
      <c r="L100" s="4" t="n">
        <v>4278.92</v>
      </c>
      <c r="M100" s="4" t="n">
        <v>0</v>
      </c>
      <c r="N100" s="4" t="n">
        <v>0</v>
      </c>
      <c r="O100" s="4" t="n">
        <v>0</v>
      </c>
      <c r="P100">
        <f>VLOOKUP(G100,'GST + Invocie No'!$B$5:$Y$183,24,0)</f>
        <v/>
      </c>
    </row>
    <row r="101">
      <c r="A101" t="inlineStr">
        <is>
          <t>January,2026</t>
        </is>
      </c>
      <c r="B101" t="inlineStr">
        <is>
          <t>PROACTIVE PROFESSIONAL SERVICES PRIVATE LIMITED</t>
        </is>
      </c>
      <c r="C101" t="inlineStr">
        <is>
          <t>08AAECP9085D2Z5</t>
        </is>
      </c>
      <c r="D101" t="inlineStr">
        <is>
          <t>Regular</t>
        </is>
      </c>
      <c r="E101" t="inlineStr">
        <is>
          <t>No</t>
        </is>
      </c>
      <c r="F101" t="inlineStr">
        <is>
          <t>PPSPL/25-26/0951</t>
        </is>
      </c>
      <c r="G101" t="inlineStr">
        <is>
          <t>AAECP9085D_PPSPL/25-26/0951</t>
        </is>
      </c>
      <c r="H101" s="7" t="n">
        <v>46039</v>
      </c>
      <c r="I101" s="4" t="n">
        <v>62926</v>
      </c>
      <c r="J101" s="4" t="n">
        <v>53326.8</v>
      </c>
      <c r="K101" t="n">
        <v>0</v>
      </c>
      <c r="L101" s="4" t="n">
        <v>9598.82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t="inlineStr">
        <is>
          <t>February,2026</t>
        </is>
      </c>
      <c r="B102" t="inlineStr">
        <is>
          <t>PROACTIVE PROFESSIONAL SERVICES PRIVATE LIMITED</t>
        </is>
      </c>
      <c r="C102" t="inlineStr">
        <is>
          <t>08AAECP9085D2Z5</t>
        </is>
      </c>
      <c r="D102" t="inlineStr">
        <is>
          <t>Regular</t>
        </is>
      </c>
      <c r="E102" t="inlineStr">
        <is>
          <t>No</t>
        </is>
      </c>
      <c r="F102" t="inlineStr">
        <is>
          <t>PPSPL/25-26/1019</t>
        </is>
      </c>
      <c r="G102" t="inlineStr">
        <is>
          <t>AAECP9085D_PPSPL/25-26/1019</t>
        </is>
      </c>
      <c r="H102" s="7" t="n">
        <v>46055</v>
      </c>
      <c r="I102" s="4" t="n">
        <v>52410</v>
      </c>
      <c r="J102" s="4" t="n">
        <v>44415.44</v>
      </c>
      <c r="K102" t="n">
        <v>0</v>
      </c>
      <c r="L102" s="4" t="n">
        <v>7994.78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t="inlineStr">
        <is>
          <t>March,2026</t>
        </is>
      </c>
      <c r="B103" t="inlineStr">
        <is>
          <t>PROACTIVE PROFESSIONAL SERVICES PRIVATE LIMITED</t>
        </is>
      </c>
      <c r="C103" t="inlineStr">
        <is>
          <t>08AAECP9085D2Z5</t>
        </is>
      </c>
      <c r="D103" t="inlineStr">
        <is>
          <t>Regular</t>
        </is>
      </c>
      <c r="E103" t="inlineStr">
        <is>
          <t>No</t>
        </is>
      </c>
      <c r="F103" t="inlineStr">
        <is>
          <t>PPSPL/25-26/1119</t>
        </is>
      </c>
      <c r="G103" t="inlineStr">
        <is>
          <t>AAECP9085D_PPSPL/25-26/1119</t>
        </is>
      </c>
      <c r="H103" s="7" t="n">
        <v>46087</v>
      </c>
      <c r="I103" s="4" t="n">
        <v>5300</v>
      </c>
      <c r="J103" s="4" t="n">
        <v>4491.6</v>
      </c>
      <c r="K103" t="n">
        <v>0</v>
      </c>
      <c r="L103" s="4" t="n">
        <v>808.49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t="inlineStr">
        <is>
          <t>August,2025</t>
        </is>
      </c>
      <c r="B104" t="inlineStr">
        <is>
          <t>PURVA SHAREGISTRY (INDIA) PVT. LTD.</t>
        </is>
      </c>
      <c r="C104" t="inlineStr">
        <is>
          <t>27AAACP4924D1ZO</t>
        </is>
      </c>
      <c r="D104" t="inlineStr">
        <is>
          <t>Regular</t>
        </is>
      </c>
      <c r="E104" t="inlineStr">
        <is>
          <t>No</t>
        </is>
      </c>
      <c r="F104" t="inlineStr">
        <is>
          <t>2025-26-2721</t>
        </is>
      </c>
      <c r="G104" t="inlineStr">
        <is>
          <t>AAACP4924D_2025-26-2721</t>
        </is>
      </c>
      <c r="H104" s="7" t="n">
        <v>45883</v>
      </c>
      <c r="I104" s="4" t="n">
        <v>9833</v>
      </c>
      <c r="J104" s="4" t="n">
        <v>8333</v>
      </c>
      <c r="K104" t="n">
        <v>0</v>
      </c>
      <c r="L104" s="4" t="n">
        <v>0</v>
      </c>
      <c r="M104" s="4" t="n">
        <v>749.97</v>
      </c>
      <c r="N104" s="4" t="n">
        <v>749.97</v>
      </c>
      <c r="O104" s="4" t="n">
        <v>0</v>
      </c>
      <c r="P104">
        <f>VLOOKUP(G104,'GST + Invocie No'!$B$5:$Y$183,24,0)</f>
        <v/>
      </c>
    </row>
    <row r="105">
      <c r="A105" t="inlineStr">
        <is>
          <t>May,2025</t>
        </is>
      </c>
      <c r="B105" t="inlineStr">
        <is>
          <t>ROOTCAUSE TECHNOLOGY PRIVATE LIMITED</t>
        </is>
      </c>
      <c r="C105" t="inlineStr">
        <is>
          <t>24AALCR1836M1Z1</t>
        </is>
      </c>
      <c r="D105" t="inlineStr">
        <is>
          <t>Regular</t>
        </is>
      </c>
      <c r="E105" t="inlineStr">
        <is>
          <t>No</t>
        </is>
      </c>
      <c r="F105" t="inlineStr">
        <is>
          <t>INV-R000368</t>
        </is>
      </c>
      <c r="G105" t="inlineStr">
        <is>
          <t>AALCR1836M_INV-R000368</t>
        </is>
      </c>
      <c r="H105" s="7" t="n">
        <v>45789</v>
      </c>
      <c r="I105" s="4" t="n">
        <v>31352.4</v>
      </c>
      <c r="J105" s="4" t="n">
        <v>26570</v>
      </c>
      <c r="K105" t="n">
        <v>0</v>
      </c>
      <c r="L105" s="4" t="n">
        <v>4782.6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t="inlineStr">
        <is>
          <t>June,2025</t>
        </is>
      </c>
      <c r="B106" t="inlineStr">
        <is>
          <t>ROOTCAUSE TECHNOLOGY PRIVATE LIMITED</t>
        </is>
      </c>
      <c r="C106" t="inlineStr">
        <is>
          <t>24AALCR1836M1Z1</t>
        </is>
      </c>
      <c r="D106" t="inlineStr">
        <is>
          <t>Regular</t>
        </is>
      </c>
      <c r="E106" t="inlineStr">
        <is>
          <t>No</t>
        </is>
      </c>
      <c r="F106" t="inlineStr">
        <is>
          <t>INV-R000370</t>
        </is>
      </c>
      <c r="G106" t="inlineStr">
        <is>
          <t>AALCR1836M_INV-R000370</t>
        </is>
      </c>
      <c r="H106" s="7" t="n">
        <v>45827</v>
      </c>
      <c r="I106" s="4" t="n">
        <v>19585.64</v>
      </c>
      <c r="J106" s="4" t="n">
        <v>16598</v>
      </c>
      <c r="K106" t="n">
        <v>0</v>
      </c>
      <c r="L106" s="4" t="n">
        <v>2987.64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t="inlineStr">
        <is>
          <t>December,2025</t>
        </is>
      </c>
      <c r="B107" t="inlineStr">
        <is>
          <t>ROOTCAUSE TECHNOLOGY PRIVATE LIMITED</t>
        </is>
      </c>
      <c r="C107" t="inlineStr">
        <is>
          <t>24AALCR1836M1Z1</t>
        </is>
      </c>
      <c r="D107" t="inlineStr">
        <is>
          <t>Regular</t>
        </is>
      </c>
      <c r="E107" t="inlineStr">
        <is>
          <t>No</t>
        </is>
      </c>
      <c r="F107" t="inlineStr">
        <is>
          <t>INV-R000390</t>
        </is>
      </c>
      <c r="G107" t="inlineStr">
        <is>
          <t>AALCR1836M_INV-R000390</t>
        </is>
      </c>
      <c r="H107" s="7" t="n">
        <v>45978</v>
      </c>
      <c r="I107" s="4" t="n">
        <v>69599.66</v>
      </c>
      <c r="J107" s="4" t="n">
        <v>58983</v>
      </c>
      <c r="K107" t="n">
        <v>0</v>
      </c>
      <c r="L107" s="4" t="n">
        <v>10616.94</v>
      </c>
      <c r="M107" s="4" t="n">
        <v>0</v>
      </c>
      <c r="N107" s="4" t="n">
        <v>0</v>
      </c>
      <c r="O107" s="4" t="n">
        <v>0</v>
      </c>
      <c r="P107">
        <f>VLOOKUP(G107,'GST + Invocie No'!$B$5:$Y$183,24,0)</f>
        <v/>
      </c>
    </row>
    <row r="108">
      <c r="A108" t="inlineStr">
        <is>
          <t>April,2025</t>
        </is>
      </c>
      <c r="B108" t="inlineStr">
        <is>
          <t>ROUTE MOBILE LIMITED</t>
        </is>
      </c>
      <c r="C108" t="inlineStr">
        <is>
          <t>27AACCR7740M1ZX</t>
        </is>
      </c>
      <c r="D108" t="inlineStr">
        <is>
          <t>Regular</t>
        </is>
      </c>
      <c r="E108" t="inlineStr">
        <is>
          <t>No</t>
        </is>
      </c>
      <c r="F108" t="inlineStr">
        <is>
          <t>RM/04-25/PP0480</t>
        </is>
      </c>
      <c r="G108" t="inlineStr">
        <is>
          <t>AACCR7740M_RM/04-25/PP0480</t>
        </is>
      </c>
      <c r="H108" s="7" t="n">
        <v>45777</v>
      </c>
      <c r="I108" s="4" t="n">
        <v>3833253.14</v>
      </c>
      <c r="J108" s="4" t="n">
        <v>3248519.6</v>
      </c>
      <c r="K108" t="n">
        <v>0</v>
      </c>
      <c r="L108" s="4" t="n">
        <v>0</v>
      </c>
      <c r="M108" s="4" t="n">
        <v>292366.77</v>
      </c>
      <c r="N108" s="4" t="n">
        <v>292366.77</v>
      </c>
      <c r="O108" s="4" t="n">
        <v>0</v>
      </c>
      <c r="P108">
        <f>VLOOKUP(G108,'GST + Invocie No'!$B$5:$Y$183,24,0)</f>
        <v/>
      </c>
    </row>
    <row r="109">
      <c r="A109" t="inlineStr">
        <is>
          <t>May,2025</t>
        </is>
      </c>
      <c r="B109" t="inlineStr">
        <is>
          <t>ROUTE MOBILE LIMITED</t>
        </is>
      </c>
      <c r="C109" t="inlineStr">
        <is>
          <t>27AACCR7740M1ZX</t>
        </is>
      </c>
      <c r="D109" t="inlineStr">
        <is>
          <t>Regular</t>
        </is>
      </c>
      <c r="E109" t="inlineStr">
        <is>
          <t>No</t>
        </is>
      </c>
      <c r="F109" t="inlineStr">
        <is>
          <t>RM/05-25/PP0466</t>
        </is>
      </c>
      <c r="G109" t="inlineStr">
        <is>
          <t>AACCR7740M_RM/05-25/PP0466</t>
        </is>
      </c>
      <c r="H109" s="7" t="n">
        <v>45808</v>
      </c>
      <c r="I109" s="4" t="n">
        <v>2468428.39</v>
      </c>
      <c r="J109" s="4" t="n">
        <v>2091888.47</v>
      </c>
      <c r="K109" t="n">
        <v>0</v>
      </c>
      <c r="L109" s="4" t="n">
        <v>0</v>
      </c>
      <c r="M109" s="4" t="n">
        <v>188269.96</v>
      </c>
      <c r="N109" s="4" t="n">
        <v>188269.96</v>
      </c>
      <c r="O109" s="4" t="n">
        <v>0</v>
      </c>
      <c r="P109">
        <f>VLOOKUP(G109,'GST + Invocie No'!$B$5:$Y$183,24,0)</f>
        <v/>
      </c>
    </row>
    <row r="110">
      <c r="A110" t="inlineStr">
        <is>
          <t>July,2025</t>
        </is>
      </c>
      <c r="B110" t="inlineStr">
        <is>
          <t>ROUTE MOBILE LIMITED</t>
        </is>
      </c>
      <c r="C110" t="inlineStr">
        <is>
          <t>27AACCR7740M1ZX</t>
        </is>
      </c>
      <c r="D110" t="inlineStr">
        <is>
          <t>Regular</t>
        </is>
      </c>
      <c r="E110" t="inlineStr">
        <is>
          <t>No</t>
        </is>
      </c>
      <c r="F110" t="inlineStr">
        <is>
          <t>RM/07-25/PP0540</t>
        </is>
      </c>
      <c r="G110" t="inlineStr">
        <is>
          <t>AACCR7740M_RM/07-25/PP0540</t>
        </is>
      </c>
      <c r="H110" s="7" t="n">
        <v>45869</v>
      </c>
      <c r="I110" s="4" t="n">
        <v>417.59</v>
      </c>
      <c r="J110" s="4" t="n">
        <v>353.89</v>
      </c>
      <c r="K110" t="n">
        <v>0</v>
      </c>
      <c r="L110" s="4" t="n">
        <v>0</v>
      </c>
      <c r="M110" s="4" t="n">
        <v>31.85</v>
      </c>
      <c r="N110" s="4" t="n">
        <v>31.85</v>
      </c>
      <c r="O110" s="4" t="n">
        <v>0</v>
      </c>
      <c r="P110">
        <f>VLOOKUP(G110,'GST + Invocie No'!$B$5:$Y$183,24,0)</f>
        <v/>
      </c>
    </row>
    <row r="111">
      <c r="A111" t="inlineStr">
        <is>
          <t>September,2025</t>
        </is>
      </c>
      <c r="B111" t="inlineStr">
        <is>
          <t>ROUTE MOBILE LIMITED</t>
        </is>
      </c>
      <c r="C111" t="inlineStr">
        <is>
          <t>27AACCR7740M1ZX</t>
        </is>
      </c>
      <c r="D111" t="inlineStr">
        <is>
          <t>Regular</t>
        </is>
      </c>
      <c r="E111" t="inlineStr">
        <is>
          <t>No</t>
        </is>
      </c>
      <c r="F111" t="inlineStr">
        <is>
          <t>RM/08-25/PP0517</t>
        </is>
      </c>
      <c r="G111" t="inlineStr">
        <is>
          <t>AACCR7740M_RM/08-25/PP0517</t>
        </is>
      </c>
      <c r="H111" s="7" t="n">
        <v>45900</v>
      </c>
      <c r="I111" s="4" t="n">
        <v>519.89</v>
      </c>
      <c r="J111" s="4" t="n">
        <v>440.59</v>
      </c>
      <c r="K111" t="n">
        <v>0</v>
      </c>
      <c r="L111" s="4" t="n">
        <v>0</v>
      </c>
      <c r="M111" s="4" t="n">
        <v>39.65</v>
      </c>
      <c r="N111" s="4" t="n">
        <v>39.65</v>
      </c>
      <c r="O111" s="4" t="n">
        <v>0</v>
      </c>
      <c r="P111">
        <f>VLOOKUP(G111,'GST + Invocie No'!$B$5:$Y$183,24,0)</f>
        <v/>
      </c>
    </row>
    <row r="112">
      <c r="A112" t="inlineStr">
        <is>
          <t>September,2025</t>
        </is>
      </c>
      <c r="B112" t="inlineStr">
        <is>
          <t>ROUTE MOBILE LIMITED</t>
        </is>
      </c>
      <c r="C112" t="inlineStr">
        <is>
          <t>27AACCR7740M1ZX</t>
        </is>
      </c>
      <c r="D112" t="inlineStr">
        <is>
          <t>Regular</t>
        </is>
      </c>
      <c r="E112" t="inlineStr">
        <is>
          <t>No</t>
        </is>
      </c>
      <c r="F112" t="inlineStr">
        <is>
          <t>RM/09-25/PP0595</t>
        </is>
      </c>
      <c r="G112" t="inlineStr">
        <is>
          <t>AACCR7740M_RM/09-25/PP0595</t>
        </is>
      </c>
      <c r="H112" s="7" t="n">
        <v>45930</v>
      </c>
      <c r="I112" s="4" t="n">
        <v>640.78</v>
      </c>
      <c r="J112" s="4" t="n">
        <v>543.04</v>
      </c>
      <c r="K112" t="n">
        <v>0</v>
      </c>
      <c r="L112" s="4" t="n">
        <v>0</v>
      </c>
      <c r="M112" s="4" t="n">
        <v>48.87</v>
      </c>
      <c r="N112" s="4" t="n">
        <v>48.87</v>
      </c>
      <c r="O112" s="4" t="n">
        <v>0</v>
      </c>
      <c r="P112">
        <f>VLOOKUP(G112,'GST + Invocie No'!$B$5:$Y$183,24,0)</f>
        <v/>
      </c>
    </row>
    <row r="113">
      <c r="A113" t="inlineStr">
        <is>
          <t>November,2025</t>
        </is>
      </c>
      <c r="B113" t="inlineStr">
        <is>
          <t>ROUTE MOBILE LIMITED</t>
        </is>
      </c>
      <c r="C113" t="inlineStr">
        <is>
          <t>27AACCR7740M1ZX</t>
        </is>
      </c>
      <c r="D113" t="inlineStr">
        <is>
          <t>Regular</t>
        </is>
      </c>
      <c r="E113" t="inlineStr">
        <is>
          <t>No</t>
        </is>
      </c>
      <c r="F113" t="inlineStr">
        <is>
          <t>RM/11-25/PP0360</t>
        </is>
      </c>
      <c r="G113" t="inlineStr">
        <is>
          <t>AACCR7740M_RM/11-25/PP0360</t>
        </is>
      </c>
      <c r="H113" s="7" t="n">
        <v>45982</v>
      </c>
      <c r="I113" s="4" t="n">
        <v>1062202.25</v>
      </c>
      <c r="J113" s="4" t="n">
        <v>900171.39</v>
      </c>
      <c r="K113" t="n">
        <v>0</v>
      </c>
      <c r="L113" s="4" t="n">
        <v>0</v>
      </c>
      <c r="M113" s="4" t="n">
        <v>81015.42999999999</v>
      </c>
      <c r="N113" s="4" t="n">
        <v>81015.42999999999</v>
      </c>
      <c r="O113" s="4" t="n">
        <v>0</v>
      </c>
      <c r="P113">
        <f>VLOOKUP(G113,'GST + Invocie No'!$B$5:$Y$183,24,0)</f>
        <v/>
      </c>
    </row>
    <row r="114">
      <c r="A114" t="inlineStr">
        <is>
          <t>June,2025</t>
        </is>
      </c>
      <c r="B114" t="inlineStr">
        <is>
          <t>SARV WEBS PRIVATE LIMITED</t>
        </is>
      </c>
      <c r="C114" t="inlineStr">
        <is>
          <t>08AAPCS9984F1ZG</t>
        </is>
      </c>
      <c r="D114" t="inlineStr">
        <is>
          <t>Regular</t>
        </is>
      </c>
      <c r="E114" t="inlineStr">
        <is>
          <t>No</t>
        </is>
      </c>
      <c r="F114" t="inlineStr">
        <is>
          <t>SWPLJUN25-26/100</t>
        </is>
      </c>
      <c r="G114" t="inlineStr">
        <is>
          <t>AAPCS9984F_SWPLJUN25-26/100</t>
        </is>
      </c>
      <c r="H114" s="7" t="n">
        <v>45838</v>
      </c>
      <c r="I114" s="4" t="n">
        <v>10113190</v>
      </c>
      <c r="J114" s="4" t="n">
        <v>8570500</v>
      </c>
      <c r="K114" t="n">
        <v>0</v>
      </c>
      <c r="L114" s="4" t="n">
        <v>1542690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t="inlineStr">
        <is>
          <t>July,2025</t>
        </is>
      </c>
      <c r="B115" t="inlineStr">
        <is>
          <t>SARV WEBS PRIVATE LIMITED</t>
        </is>
      </c>
      <c r="C115" t="inlineStr">
        <is>
          <t>08AAPCS9984F1ZG</t>
        </is>
      </c>
      <c r="D115" t="inlineStr">
        <is>
          <t>Regular</t>
        </is>
      </c>
      <c r="E115" t="inlineStr">
        <is>
          <t>No</t>
        </is>
      </c>
      <c r="F115" t="inlineStr">
        <is>
          <t>SWPLJUL25-26/141</t>
        </is>
      </c>
      <c r="G115" t="inlineStr">
        <is>
          <t>AAPCS9984F_SWPLJUL25-26/141</t>
        </is>
      </c>
      <c r="H115" s="7" t="n">
        <v>45869</v>
      </c>
      <c r="I115" s="4" t="n">
        <v>19470590</v>
      </c>
      <c r="J115" s="4" t="n">
        <v>16500500</v>
      </c>
      <c r="K115" t="n">
        <v>0</v>
      </c>
      <c r="L115" s="4" t="n">
        <v>2970090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t="inlineStr">
        <is>
          <t>December,2025</t>
        </is>
      </c>
      <c r="B116" t="inlineStr">
        <is>
          <t>SARV WEBS PRIVATE LIMITED</t>
        </is>
      </c>
      <c r="C116" t="inlineStr">
        <is>
          <t>08AAPCS9984F1ZG</t>
        </is>
      </c>
      <c r="D116" t="inlineStr">
        <is>
          <t>Regular</t>
        </is>
      </c>
      <c r="E116" t="inlineStr">
        <is>
          <t>No</t>
        </is>
      </c>
      <c r="F116" t="inlineStr">
        <is>
          <t>SWPLDEC25-26/147</t>
        </is>
      </c>
      <c r="G116" t="inlineStr">
        <is>
          <t>AAPCS9984F_SWPLDEC25-26/147</t>
        </is>
      </c>
      <c r="H116" s="7" t="n">
        <v>46022</v>
      </c>
      <c r="I116" s="4" t="n">
        <v>17872135</v>
      </c>
      <c r="J116" s="4" t="n">
        <v>15145877.2</v>
      </c>
      <c r="K116" t="n">
        <v>0</v>
      </c>
      <c r="L116" s="4" t="n">
        <v>2726257.9</v>
      </c>
      <c r="M116" s="4" t="n">
        <v>0</v>
      </c>
      <c r="N116" s="4" t="n">
        <v>0</v>
      </c>
      <c r="O116" s="4" t="n">
        <v>0</v>
      </c>
      <c r="P116">
        <f>VLOOKUP(G116,'GST + Invocie No'!$B$5:$Y$183,24,0)</f>
        <v/>
      </c>
    </row>
    <row r="117">
      <c r="A117" t="inlineStr">
        <is>
          <t>January,2026</t>
        </is>
      </c>
      <c r="B117" t="inlineStr">
        <is>
          <t>SAVVY BUSINESS SOLUTIONS PRIVATE LIMITED</t>
        </is>
      </c>
      <c r="C117" t="inlineStr">
        <is>
          <t>27AAOCS8108A1ZD</t>
        </is>
      </c>
      <c r="D117" t="inlineStr">
        <is>
          <t>Regular</t>
        </is>
      </c>
      <c r="E117" t="inlineStr">
        <is>
          <t>No</t>
        </is>
      </c>
      <c r="F117" t="inlineStr">
        <is>
          <t>SB2526827</t>
        </is>
      </c>
      <c r="G117" t="inlineStr">
        <is>
          <t>AAOCS8108A_SB2526827</t>
        </is>
      </c>
      <c r="H117" s="7" t="n">
        <v>45874</v>
      </c>
      <c r="I117" s="4" t="n">
        <v>70800</v>
      </c>
      <c r="J117" s="4" t="n">
        <v>60000</v>
      </c>
      <c r="K117" t="n">
        <v>0</v>
      </c>
      <c r="L117" s="4" t="n">
        <v>0</v>
      </c>
      <c r="M117" s="4" t="n">
        <v>5400</v>
      </c>
      <c r="N117" s="4" t="n">
        <v>5400</v>
      </c>
      <c r="O117" s="4" t="n">
        <v>0</v>
      </c>
      <c r="P117">
        <f>VLOOKUP(G117,'GST + Invocie No'!$B$5:$Y$183,24,0)</f>
        <v/>
      </c>
    </row>
    <row r="118">
      <c r="A118" t="inlineStr">
        <is>
          <t>January,2026</t>
        </is>
      </c>
      <c r="B118" t="inlineStr">
        <is>
          <t>SAVVY BUSINESS SOLUTIONS PRIVATE LIMITED</t>
        </is>
      </c>
      <c r="C118" t="inlineStr">
        <is>
          <t>27AAOCS8108A1ZD</t>
        </is>
      </c>
      <c r="D118" t="inlineStr">
        <is>
          <t>Regular</t>
        </is>
      </c>
      <c r="E118" t="inlineStr">
        <is>
          <t>No</t>
        </is>
      </c>
      <c r="F118" t="inlineStr">
        <is>
          <t>SB2526843</t>
        </is>
      </c>
      <c r="G118" t="inlineStr">
        <is>
          <t>AAOCS8108A_SB2526843</t>
        </is>
      </c>
      <c r="H118" s="7" t="n">
        <v>45904</v>
      </c>
      <c r="I118" s="4" t="n">
        <v>17700</v>
      </c>
      <c r="J118" s="4" t="n">
        <v>15000</v>
      </c>
      <c r="K118" t="n">
        <v>0</v>
      </c>
      <c r="L118" s="4" t="n">
        <v>0</v>
      </c>
      <c r="M118" s="4" t="n">
        <v>1350</v>
      </c>
      <c r="N118" s="4" t="n">
        <v>1350</v>
      </c>
      <c r="O118" s="4" t="n">
        <v>0</v>
      </c>
      <c r="P118">
        <f>VLOOKUP(G118,'GST + Invocie No'!$B$5:$Y$183,24,0)</f>
        <v/>
      </c>
    </row>
    <row r="119">
      <c r="A119" t="inlineStr">
        <is>
          <t>January,2026</t>
        </is>
      </c>
      <c r="B119" t="inlineStr">
        <is>
          <t>SAVVY BUSINESS SOLUTIONS PRIVATE LIMITED</t>
        </is>
      </c>
      <c r="C119" t="inlineStr">
        <is>
          <t>27AAOCS8108A1ZD</t>
        </is>
      </c>
      <c r="D119" t="inlineStr">
        <is>
          <t>Regular</t>
        </is>
      </c>
      <c r="E119" t="inlineStr">
        <is>
          <t>No</t>
        </is>
      </c>
      <c r="F119" t="inlineStr">
        <is>
          <t>SB2526862</t>
        </is>
      </c>
      <c r="G119" t="inlineStr">
        <is>
          <t>AAOCS8108A_SB2526862</t>
        </is>
      </c>
      <c r="H119" s="7" t="n">
        <v>45933</v>
      </c>
      <c r="I119" s="4" t="n">
        <v>17700</v>
      </c>
      <c r="J119" s="4" t="n">
        <v>15000</v>
      </c>
      <c r="K119" t="n">
        <v>0</v>
      </c>
      <c r="L119" s="4" t="n">
        <v>0</v>
      </c>
      <c r="M119" s="4" t="n">
        <v>1350</v>
      </c>
      <c r="N119" s="4" t="n">
        <v>1350</v>
      </c>
      <c r="O119" s="4" t="n">
        <v>0</v>
      </c>
      <c r="P119">
        <f>VLOOKUP(G119,'GST + Invocie No'!$B$5:$Y$183,24,0)</f>
        <v/>
      </c>
    </row>
    <row r="120">
      <c r="A120" t="inlineStr">
        <is>
          <t>January,2026</t>
        </is>
      </c>
      <c r="B120" t="inlineStr">
        <is>
          <t>SAVVY BUSINESS SOLUTIONS PRIVATE LIMITED</t>
        </is>
      </c>
      <c r="C120" t="inlineStr">
        <is>
          <t>27AAOCS8108A1ZD</t>
        </is>
      </c>
      <c r="D120" t="inlineStr">
        <is>
          <t>Regular</t>
        </is>
      </c>
      <c r="E120" t="inlineStr">
        <is>
          <t>No</t>
        </is>
      </c>
      <c r="F120" t="inlineStr">
        <is>
          <t>SB2526892</t>
        </is>
      </c>
      <c r="G120" t="inlineStr">
        <is>
          <t>AAOCS8108A_SB2526892</t>
        </is>
      </c>
      <c r="H120" s="7" t="n">
        <v>45964</v>
      </c>
      <c r="I120" s="4" t="n">
        <v>17700</v>
      </c>
      <c r="J120" s="4" t="n">
        <v>15000</v>
      </c>
      <c r="K120" t="n">
        <v>0</v>
      </c>
      <c r="L120" s="4" t="n">
        <v>0</v>
      </c>
      <c r="M120" s="4" t="n">
        <v>1350</v>
      </c>
      <c r="N120" s="4" t="n">
        <v>1350</v>
      </c>
      <c r="O120" s="4" t="n">
        <v>0</v>
      </c>
      <c r="P120">
        <f>VLOOKUP(G120,'GST + Invocie No'!$B$5:$Y$183,24,0)</f>
        <v/>
      </c>
    </row>
    <row r="121">
      <c r="A121" t="inlineStr">
        <is>
          <t>January,2026</t>
        </is>
      </c>
      <c r="B121" t="inlineStr">
        <is>
          <t>SAVVY BUSINESS SOLUTIONS PRIVATE LIMITED</t>
        </is>
      </c>
      <c r="C121" t="inlineStr">
        <is>
          <t>27AAOCS8108A1ZD</t>
        </is>
      </c>
      <c r="D121" t="inlineStr">
        <is>
          <t>Regular</t>
        </is>
      </c>
      <c r="E121" t="inlineStr">
        <is>
          <t>No</t>
        </is>
      </c>
      <c r="F121" t="inlineStr">
        <is>
          <t>SB2526922</t>
        </is>
      </c>
      <c r="G121" t="inlineStr">
        <is>
          <t>AAOCS8108A_SB2526922</t>
        </is>
      </c>
      <c r="H121" s="7" t="n">
        <v>45994</v>
      </c>
      <c r="I121" s="4" t="n">
        <v>17700</v>
      </c>
      <c r="J121" s="4" t="n">
        <v>15000</v>
      </c>
      <c r="K121" t="n">
        <v>0</v>
      </c>
      <c r="L121" s="4" t="n">
        <v>0</v>
      </c>
      <c r="M121" s="4" t="n">
        <v>1350</v>
      </c>
      <c r="N121" s="4" t="n">
        <v>1350</v>
      </c>
      <c r="O121" s="4" t="n">
        <v>0</v>
      </c>
      <c r="P121">
        <f>VLOOKUP(G121,'GST + Invocie No'!$B$5:$Y$183,24,0)</f>
        <v/>
      </c>
    </row>
    <row r="122">
      <c r="A122" t="inlineStr">
        <is>
          <t>April,2025</t>
        </is>
      </c>
      <c r="B122" t="inlineStr">
        <is>
          <t>SEVEN OCEANS TELESERVICES PRIVATE LIMITED</t>
        </is>
      </c>
      <c r="C122" t="inlineStr">
        <is>
          <t>27ABDCS7338G1Z4</t>
        </is>
      </c>
      <c r="D122" t="inlineStr">
        <is>
          <t>Regular</t>
        </is>
      </c>
      <c r="E122" t="inlineStr">
        <is>
          <t>No</t>
        </is>
      </c>
      <c r="F122" t="inlineStr">
        <is>
          <t>STPL/25-26/012</t>
        </is>
      </c>
      <c r="G122" t="inlineStr">
        <is>
          <t>ABDCS7338G_STPL/25-26/012</t>
        </is>
      </c>
      <c r="H122" s="7" t="n">
        <v>45777</v>
      </c>
      <c r="I122" s="4" t="n">
        <v>627589</v>
      </c>
      <c r="J122" s="4" t="n">
        <v>531854.78</v>
      </c>
      <c r="K122" t="n">
        <v>0</v>
      </c>
      <c r="L122" s="4" t="n">
        <v>0</v>
      </c>
      <c r="M122" s="4" t="n">
        <v>47866.93</v>
      </c>
      <c r="N122" s="4" t="n">
        <v>47866.93</v>
      </c>
      <c r="O122" s="4" t="n">
        <v>0</v>
      </c>
      <c r="P122">
        <f>VLOOKUP(G122,'GST + Invocie No'!$B$5:$Y$183,24,0)</f>
        <v/>
      </c>
    </row>
    <row r="123">
      <c r="A123" t="inlineStr">
        <is>
          <t>May,2025</t>
        </is>
      </c>
      <c r="B123" t="inlineStr">
        <is>
          <t>SEVEN OCEANS TELESERVICES PRIVATE LIMITED</t>
        </is>
      </c>
      <c r="C123" t="inlineStr">
        <is>
          <t>27ABDCS7338G1Z4</t>
        </is>
      </c>
      <c r="D123" t="inlineStr">
        <is>
          <t>Regular</t>
        </is>
      </c>
      <c r="E123" t="inlineStr">
        <is>
          <t>No</t>
        </is>
      </c>
      <c r="F123" t="inlineStr">
        <is>
          <t>STPL/25-26/034</t>
        </is>
      </c>
      <c r="G123" t="inlineStr">
        <is>
          <t>ABDCS7338G_STPL/25-26/034</t>
        </is>
      </c>
      <c r="H123" s="7" t="n">
        <v>45808</v>
      </c>
      <c r="I123" s="4" t="n">
        <v>176053</v>
      </c>
      <c r="J123" s="4" t="n">
        <v>149197.7</v>
      </c>
      <c r="K123" t="n">
        <v>0</v>
      </c>
      <c r="L123" s="4" t="n">
        <v>0</v>
      </c>
      <c r="M123" s="4" t="n">
        <v>13427.8</v>
      </c>
      <c r="N123" s="4" t="n">
        <v>13427.8</v>
      </c>
      <c r="O123" s="4" t="n">
        <v>0</v>
      </c>
      <c r="P123">
        <f>VLOOKUP(G123,'GST + Invocie No'!$B$5:$Y$183,24,0)</f>
        <v/>
      </c>
    </row>
    <row r="124">
      <c r="A124" t="inlineStr">
        <is>
          <t>July,2025</t>
        </is>
      </c>
      <c r="B124" t="inlineStr">
        <is>
          <t>SEVEN OCEANS TELESERVICES PRIVATE LIMITED</t>
        </is>
      </c>
      <c r="C124" t="inlineStr">
        <is>
          <t>27ABDCS7338G1Z4</t>
        </is>
      </c>
      <c r="D124" t="inlineStr">
        <is>
          <t>Regular</t>
        </is>
      </c>
      <c r="E124" t="inlineStr">
        <is>
          <t>No</t>
        </is>
      </c>
      <c r="F124" t="inlineStr">
        <is>
          <t>STPL/25-26/093</t>
        </is>
      </c>
      <c r="G124" t="inlineStr">
        <is>
          <t>ABDCS7338G_STPL/25-26/093</t>
        </is>
      </c>
      <c r="H124" s="7" t="n">
        <v>45869</v>
      </c>
      <c r="I124" s="4" t="n">
        <v>625685.8100000001</v>
      </c>
      <c r="J124" s="4" t="n">
        <v>530242.22</v>
      </c>
      <c r="K124" t="n">
        <v>0</v>
      </c>
      <c r="L124" s="4" t="n">
        <v>0</v>
      </c>
      <c r="M124" s="4" t="n">
        <v>47721.8</v>
      </c>
      <c r="N124" s="4" t="n">
        <v>47721.8</v>
      </c>
      <c r="O124" s="4" t="n">
        <v>0</v>
      </c>
      <c r="P124">
        <f>VLOOKUP(G124,'GST + Invocie No'!$B$5:$Y$183,24,0)</f>
        <v/>
      </c>
    </row>
    <row r="125">
      <c r="A125" t="inlineStr">
        <is>
          <t>August,2025</t>
        </is>
      </c>
      <c r="B125" t="inlineStr">
        <is>
          <t>SEVEN OCEANS TELESERVICES PRIVATE LIMITED</t>
        </is>
      </c>
      <c r="C125" t="inlineStr">
        <is>
          <t>27ABDCS7338G1Z4</t>
        </is>
      </c>
      <c r="D125" t="inlineStr">
        <is>
          <t>Regular</t>
        </is>
      </c>
      <c r="E125" t="inlineStr">
        <is>
          <t>No</t>
        </is>
      </c>
      <c r="F125" t="inlineStr">
        <is>
          <t>STPL/25-26/126</t>
        </is>
      </c>
      <c r="G125" t="inlineStr">
        <is>
          <t>ABDCS7338G_STPL/25-26/126</t>
        </is>
      </c>
      <c r="H125" s="7" t="n">
        <v>45900</v>
      </c>
      <c r="I125" s="4" t="n">
        <v>435324.24</v>
      </c>
      <c r="J125" s="4" t="n">
        <v>368918.85</v>
      </c>
      <c r="K125" t="n">
        <v>0</v>
      </c>
      <c r="L125" s="4" t="n">
        <v>0</v>
      </c>
      <c r="M125" s="4" t="n">
        <v>33202.7</v>
      </c>
      <c r="N125" s="4" t="n">
        <v>33202.7</v>
      </c>
      <c r="O125" s="4" t="n">
        <v>0</v>
      </c>
      <c r="P125">
        <f>VLOOKUP(G125,'GST + Invocie No'!$B$5:$Y$183,24,0)</f>
        <v/>
      </c>
    </row>
    <row r="126">
      <c r="A126" t="inlineStr">
        <is>
          <t>September,2025</t>
        </is>
      </c>
      <c r="B126" t="inlineStr">
        <is>
          <t>SEVEN OCEANS TELESERVICES PRIVATE LIMITED</t>
        </is>
      </c>
      <c r="C126" t="inlineStr">
        <is>
          <t>27ABDCS7338G1Z4</t>
        </is>
      </c>
      <c r="D126" t="inlineStr">
        <is>
          <t>Regular</t>
        </is>
      </c>
      <c r="E126" t="inlineStr">
        <is>
          <t>No</t>
        </is>
      </c>
      <c r="F126" t="inlineStr">
        <is>
          <t>STPL/25-26/153</t>
        </is>
      </c>
      <c r="G126" t="inlineStr">
        <is>
          <t>ABDCS7338G_STPL/25-26/153</t>
        </is>
      </c>
      <c r="H126" s="7" t="n">
        <v>45930</v>
      </c>
      <c r="I126" s="4" t="n">
        <v>527019.03</v>
      </c>
      <c r="J126" s="4" t="n">
        <v>446626.29</v>
      </c>
      <c r="K126" t="n">
        <v>0</v>
      </c>
      <c r="L126" s="4" t="n">
        <v>0</v>
      </c>
      <c r="M126" s="4" t="n">
        <v>40196.37</v>
      </c>
      <c r="N126" s="4" t="n">
        <v>40196.37</v>
      </c>
      <c r="O126" s="4" t="n">
        <v>0</v>
      </c>
      <c r="P126">
        <f>VLOOKUP(G126,'GST + Invocie No'!$B$5:$Y$183,24,0)</f>
        <v/>
      </c>
    </row>
    <row r="127">
      <c r="A127" t="inlineStr">
        <is>
          <t>October,2025</t>
        </is>
      </c>
      <c r="B127" t="inlineStr">
        <is>
          <t>SEVEN OCEANS TELESERVICES PRIVATE LIMITED</t>
        </is>
      </c>
      <c r="C127" t="inlineStr">
        <is>
          <t>27ABDCS7338G1Z4</t>
        </is>
      </c>
      <c r="D127" t="inlineStr">
        <is>
          <t>Regular</t>
        </is>
      </c>
      <c r="E127" t="inlineStr">
        <is>
          <t>No</t>
        </is>
      </c>
      <c r="F127" t="inlineStr">
        <is>
          <t>STPL/25-26/179</t>
        </is>
      </c>
      <c r="G127" t="inlineStr">
        <is>
          <t>ABDCS7338G_STPL/25-26/179</t>
        </is>
      </c>
      <c r="H127" s="7" t="n">
        <v>45961</v>
      </c>
      <c r="I127" s="4" t="n">
        <v>277810</v>
      </c>
      <c r="J127" s="4" t="n">
        <v>235431.83</v>
      </c>
      <c r="K127" t="n">
        <v>0</v>
      </c>
      <c r="L127" s="4" t="n">
        <v>0</v>
      </c>
      <c r="M127" s="4" t="n">
        <v>21188.86</v>
      </c>
      <c r="N127" s="4" t="n">
        <v>21188.86</v>
      </c>
      <c r="O127" s="4" t="n">
        <v>0</v>
      </c>
      <c r="P127">
        <f>VLOOKUP(G127,'GST + Invocie No'!$B$5:$Y$183,24,0)</f>
        <v/>
      </c>
    </row>
    <row r="128">
      <c r="A128" t="inlineStr">
        <is>
          <t>November,2025</t>
        </is>
      </c>
      <c r="B128" t="inlineStr">
        <is>
          <t>SEVEN OCEANS TELESERVICES PRIVATE LIMITED</t>
        </is>
      </c>
      <c r="C128" t="inlineStr">
        <is>
          <t>27ABDCS7338G1Z4</t>
        </is>
      </c>
      <c r="D128" t="inlineStr">
        <is>
          <t>Regular</t>
        </is>
      </c>
      <c r="E128" t="inlineStr">
        <is>
          <t>No</t>
        </is>
      </c>
      <c r="F128" t="inlineStr">
        <is>
          <t>STPL/25-26/206</t>
        </is>
      </c>
      <c r="G128" t="inlineStr">
        <is>
          <t>ABDCS7338G_STPL/25-26/206</t>
        </is>
      </c>
      <c r="H128" s="7" t="n">
        <v>45991</v>
      </c>
      <c r="I128" s="4" t="n">
        <v>67299.82000000001</v>
      </c>
      <c r="J128" s="4" t="n">
        <v>57033.75</v>
      </c>
      <c r="K128" t="n">
        <v>0</v>
      </c>
      <c r="L128" s="4" t="n">
        <v>0</v>
      </c>
      <c r="M128" s="4" t="n">
        <v>5133.04</v>
      </c>
      <c r="N128" s="4" t="n">
        <v>5133.04</v>
      </c>
      <c r="O128" s="4" t="n">
        <v>0</v>
      </c>
      <c r="P128">
        <f>VLOOKUP(G128,'GST + Invocie No'!$B$5:$Y$183,24,0)</f>
        <v/>
      </c>
    </row>
    <row r="129">
      <c r="A129" t="inlineStr">
        <is>
          <t>December,2025</t>
        </is>
      </c>
      <c r="B129" t="inlineStr">
        <is>
          <t>SEVEN OCEANS TELESERVICES PRIVATE LIMITED</t>
        </is>
      </c>
      <c r="C129" t="inlineStr">
        <is>
          <t>27ABDCS7338G1Z4</t>
        </is>
      </c>
      <c r="D129" t="inlineStr">
        <is>
          <t>Regular</t>
        </is>
      </c>
      <c r="E129" t="inlineStr">
        <is>
          <t>No</t>
        </is>
      </c>
      <c r="F129" t="inlineStr">
        <is>
          <t>STPL/25-26/231</t>
        </is>
      </c>
      <c r="G129" t="inlineStr">
        <is>
          <t>ABDCS7338G_STPL/25-26/231</t>
        </is>
      </c>
      <c r="H129" s="7" t="n">
        <v>46022</v>
      </c>
      <c r="I129" s="4" t="n">
        <v>187226</v>
      </c>
      <c r="J129" s="4" t="n">
        <v>158665.77</v>
      </c>
      <c r="K129" t="n">
        <v>0</v>
      </c>
      <c r="L129" s="4" t="n">
        <v>0</v>
      </c>
      <c r="M129" s="4" t="n">
        <v>14279.92</v>
      </c>
      <c r="N129" s="4" t="n">
        <v>14279.92</v>
      </c>
      <c r="O129" s="4" t="n">
        <v>0</v>
      </c>
      <c r="P129">
        <f>VLOOKUP(G129,'GST + Invocie No'!$B$5:$Y$183,24,0)</f>
        <v/>
      </c>
    </row>
    <row r="130">
      <c r="A130" t="inlineStr">
        <is>
          <t>January,2026</t>
        </is>
      </c>
      <c r="B130" t="inlineStr">
        <is>
          <t>SEVEN OCEANS TELESERVICES PRIVATE LIMITED</t>
        </is>
      </c>
      <c r="C130" t="inlineStr">
        <is>
          <t>27ABDCS7338G1Z4</t>
        </is>
      </c>
      <c r="D130" t="inlineStr">
        <is>
          <t>Regular</t>
        </is>
      </c>
      <c r="E130" t="inlineStr">
        <is>
          <t>No</t>
        </is>
      </c>
      <c r="F130" t="inlineStr">
        <is>
          <t>STPL/25-26/259</t>
        </is>
      </c>
      <c r="G130" t="inlineStr">
        <is>
          <t>ABDCS7338G_STPL/25-26/259</t>
        </is>
      </c>
      <c r="H130" s="7" t="n">
        <v>46053</v>
      </c>
      <c r="I130" s="4" t="n">
        <v>38897</v>
      </c>
      <c r="J130" s="4" t="n">
        <v>32963.47</v>
      </c>
      <c r="K130" t="n">
        <v>0</v>
      </c>
      <c r="L130" s="4" t="n">
        <v>0</v>
      </c>
      <c r="M130" s="4" t="n">
        <v>2966.71</v>
      </c>
      <c r="N130" s="4" t="n">
        <v>2966.71</v>
      </c>
      <c r="O130" s="4" t="n">
        <v>0</v>
      </c>
      <c r="P130">
        <f>VLOOKUP(G130,'GST + Invocie No'!$B$5:$Y$183,24,0)</f>
        <v/>
      </c>
    </row>
    <row r="131">
      <c r="A131" t="inlineStr">
        <is>
          <t>March,2026</t>
        </is>
      </c>
      <c r="B131" t="inlineStr">
        <is>
          <t>SEVEN OCEANS TELESERVICES PRIVATE LIMITED</t>
        </is>
      </c>
      <c r="C131" t="inlineStr">
        <is>
          <t>27ABDCS7338G1Z4</t>
        </is>
      </c>
      <c r="D131" t="inlineStr">
        <is>
          <t>Regular</t>
        </is>
      </c>
      <c r="E131" t="inlineStr">
        <is>
          <t>No</t>
        </is>
      </c>
      <c r="F131" t="inlineStr">
        <is>
          <t>STPL/25-26/337</t>
        </is>
      </c>
      <c r="G131" t="inlineStr">
        <is>
          <t>ABDCS7338G_STPL/25-26/337</t>
        </is>
      </c>
      <c r="H131" s="7" t="n">
        <v>46112</v>
      </c>
      <c r="I131" s="4" t="n">
        <v>68080</v>
      </c>
      <c r="J131" s="4" t="n">
        <v>57695.29</v>
      </c>
      <c r="K131" t="n">
        <v>0</v>
      </c>
      <c r="L131" s="4" t="n">
        <v>0</v>
      </c>
      <c r="M131" s="4" t="n">
        <v>5192.58</v>
      </c>
      <c r="N131" s="4" t="n">
        <v>5192.58</v>
      </c>
      <c r="O131" s="4" t="n">
        <v>0</v>
      </c>
      <c r="P131">
        <f>VLOOKUP(G131,'GST + Invocie No'!$B$5:$Y$183,24,0)</f>
        <v/>
      </c>
    </row>
    <row r="132">
      <c r="A132" t="inlineStr">
        <is>
          <t>March,2026</t>
        </is>
      </c>
      <c r="B132" t="inlineStr">
        <is>
          <t>SMART TECH MESSAGING PRIVATE LIMITED</t>
        </is>
      </c>
      <c r="C132" t="inlineStr">
        <is>
          <t>09ABHCS5775R1Z6</t>
        </is>
      </c>
      <c r="D132" t="inlineStr">
        <is>
          <t>Regular</t>
        </is>
      </c>
      <c r="E132" t="inlineStr">
        <is>
          <t>No</t>
        </is>
      </c>
      <c r="F132" t="inlineStr">
        <is>
          <t>STMPL/25-26/188</t>
        </is>
      </c>
      <c r="G132" t="inlineStr">
        <is>
          <t>ABHCS5775R_STMPL/25-26/188</t>
        </is>
      </c>
      <c r="H132" s="7" t="n">
        <v>46099</v>
      </c>
      <c r="I132" s="4" t="n">
        <v>3588475</v>
      </c>
      <c r="J132" s="4" t="n">
        <v>3041080.71</v>
      </c>
      <c r="K132" t="n">
        <v>0</v>
      </c>
      <c r="L132" s="4" t="n">
        <v>547394.53</v>
      </c>
      <c r="M132" s="4" t="n">
        <v>0</v>
      </c>
      <c r="N132" s="4" t="n">
        <v>0</v>
      </c>
      <c r="O132" s="4" t="n">
        <v>0</v>
      </c>
      <c r="P132">
        <f>VLOOKUP(G132,'GST + Invocie No'!$B$5:$Y$183,24,0)</f>
        <v/>
      </c>
    </row>
    <row r="133">
      <c r="A133" t="inlineStr">
        <is>
          <t>March,2026</t>
        </is>
      </c>
      <c r="B133" t="inlineStr">
        <is>
          <t>SMART TECH MESSAGING PRIVATE LIMITED</t>
        </is>
      </c>
      <c r="C133" t="inlineStr">
        <is>
          <t>09ABHCS5775R1Z6</t>
        </is>
      </c>
      <c r="D133" t="inlineStr">
        <is>
          <t>Regular</t>
        </is>
      </c>
      <c r="E133" t="inlineStr">
        <is>
          <t>No</t>
        </is>
      </c>
      <c r="F133" t="inlineStr">
        <is>
          <t>STMPL/25-26/189</t>
        </is>
      </c>
      <c r="G133" t="inlineStr">
        <is>
          <t>ABHCS5775R_STMPL/25-26/189</t>
        </is>
      </c>
      <c r="H133" s="7" t="n">
        <v>46099</v>
      </c>
      <c r="I133" s="4" t="n">
        <v>205197</v>
      </c>
      <c r="J133" s="4" t="n">
        <v>173895.44</v>
      </c>
      <c r="K133" t="n">
        <v>0</v>
      </c>
      <c r="L133" s="4" t="n">
        <v>31301.18</v>
      </c>
      <c r="M133" s="4" t="n">
        <v>0</v>
      </c>
      <c r="N133" s="4" t="n">
        <v>0</v>
      </c>
      <c r="O133" s="4" t="n">
        <v>0</v>
      </c>
      <c r="P133">
        <f>VLOOKUP(G133,'GST + Invocie No'!$B$5:$Y$183,24,0)</f>
        <v/>
      </c>
    </row>
    <row r="134">
      <c r="A134" t="inlineStr">
        <is>
          <t>March,2026</t>
        </is>
      </c>
      <c r="B134" t="inlineStr">
        <is>
          <t>SMART TECH MESSAGING PRIVATE LIMITED</t>
        </is>
      </c>
      <c r="C134" t="inlineStr">
        <is>
          <t>09ABHCS5775R1Z6</t>
        </is>
      </c>
      <c r="D134" t="inlineStr">
        <is>
          <t>Regular</t>
        </is>
      </c>
      <c r="E134" t="inlineStr">
        <is>
          <t>No</t>
        </is>
      </c>
      <c r="F134" t="inlineStr">
        <is>
          <t>STMPL/25-26/205</t>
        </is>
      </c>
      <c r="G134" t="inlineStr">
        <is>
          <t>ABHCS5775R_STMPL/25-26/205</t>
        </is>
      </c>
      <c r="H134" s="7" t="n">
        <v>46112</v>
      </c>
      <c r="I134" s="4" t="n">
        <v>77197</v>
      </c>
      <c r="J134" s="4" t="n">
        <v>65421.28</v>
      </c>
      <c r="K134" t="n">
        <v>0</v>
      </c>
      <c r="L134" s="4" t="n">
        <v>11775.83</v>
      </c>
      <c r="M134" s="4" t="n">
        <v>0</v>
      </c>
      <c r="N134" s="4" t="n">
        <v>0</v>
      </c>
      <c r="O134" s="4" t="n">
        <v>0</v>
      </c>
      <c r="P134">
        <f>VLOOKUP(G134,'GST + Invocie No'!$B$5:$Y$183,24,0)</f>
        <v/>
      </c>
    </row>
    <row r="135">
      <c r="A135" t="inlineStr">
        <is>
          <t>April,2025</t>
        </is>
      </c>
      <c r="B135" t="inlineStr">
        <is>
          <t>TAGG TELESERVICES PRIVATE LIMITED</t>
        </is>
      </c>
      <c r="C135" t="inlineStr">
        <is>
          <t>07AAHCT4293N1ZO</t>
        </is>
      </c>
      <c r="D135" t="inlineStr">
        <is>
          <t>Regular</t>
        </is>
      </c>
      <c r="E135" t="inlineStr">
        <is>
          <t>No</t>
        </is>
      </c>
      <c r="F135" t="inlineStr">
        <is>
          <t>TTSPL20250425</t>
        </is>
      </c>
      <c r="G135" t="inlineStr">
        <is>
          <t>AAHCT4293N_TTSPL20250425</t>
        </is>
      </c>
      <c r="H135" s="7" t="n">
        <v>45777</v>
      </c>
      <c r="I135" s="4" t="n">
        <v>22514</v>
      </c>
      <c r="J135" s="4" t="n">
        <v>19079.75</v>
      </c>
      <c r="K135" t="n">
        <v>0</v>
      </c>
      <c r="L135" s="4" t="n">
        <v>3434.36</v>
      </c>
      <c r="M135" s="4" t="n">
        <v>0</v>
      </c>
      <c r="N135" s="4" t="n">
        <v>0</v>
      </c>
      <c r="O135" s="4" t="n">
        <v>0</v>
      </c>
      <c r="P135">
        <f>VLOOKUP(G135,'GST + Invocie No'!$B$5:$Y$183,24,0)</f>
        <v/>
      </c>
    </row>
    <row r="136">
      <c r="A136" t="inlineStr">
        <is>
          <t>May,2025</t>
        </is>
      </c>
      <c r="B136" t="inlineStr">
        <is>
          <t>TAGG TELESERVICES PRIVATE LIMITED</t>
        </is>
      </c>
      <c r="C136" t="inlineStr">
        <is>
          <t>07AAHCT4293N1ZO</t>
        </is>
      </c>
      <c r="D136" t="inlineStr">
        <is>
          <t>Regular</t>
        </is>
      </c>
      <c r="E136" t="inlineStr">
        <is>
          <t>No</t>
        </is>
      </c>
      <c r="F136" t="inlineStr">
        <is>
          <t>TTSPL20250534</t>
        </is>
      </c>
      <c r="G136" t="inlineStr">
        <is>
          <t>AAHCT4293N_TTSPL20250534</t>
        </is>
      </c>
      <c r="H136" s="7" t="n">
        <v>45808</v>
      </c>
      <c r="I136" s="4" t="n">
        <v>29141</v>
      </c>
      <c r="J136" s="4" t="n">
        <v>24695.6</v>
      </c>
      <c r="K136" t="n">
        <v>0</v>
      </c>
      <c r="L136" s="4" t="n">
        <v>4445.21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t="inlineStr">
        <is>
          <t>June,2025</t>
        </is>
      </c>
      <c r="B137" t="inlineStr">
        <is>
          <t>TAGG TELESERVICES PRIVATE LIMITED</t>
        </is>
      </c>
      <c r="C137" t="inlineStr">
        <is>
          <t>07AAHCT4293N1ZO</t>
        </is>
      </c>
      <c r="D137" t="inlineStr">
        <is>
          <t>Regular</t>
        </is>
      </c>
      <c r="E137" t="inlineStr">
        <is>
          <t>No</t>
        </is>
      </c>
      <c r="F137" t="inlineStr">
        <is>
          <t>TTSPL20250627</t>
        </is>
      </c>
      <c r="G137" t="inlineStr">
        <is>
          <t>AAHCT4293N_TTSPL20250627</t>
        </is>
      </c>
      <c r="H137" s="7" t="n">
        <v>45838</v>
      </c>
      <c r="I137" s="4" t="n">
        <v>32570</v>
      </c>
      <c r="J137" s="4" t="n">
        <v>27601.99</v>
      </c>
      <c r="K137" t="n">
        <v>0</v>
      </c>
      <c r="L137" s="4" t="n">
        <v>4968.36</v>
      </c>
      <c r="M137" s="4" t="n">
        <v>0</v>
      </c>
      <c r="N137" s="4" t="n">
        <v>0</v>
      </c>
      <c r="O137" s="4" t="n">
        <v>0</v>
      </c>
      <c r="P137">
        <f>VLOOKUP(G137,'GST + Invocie No'!$B$5:$Y$183,24,0)</f>
        <v/>
      </c>
    </row>
    <row r="138">
      <c r="A138" t="inlineStr">
        <is>
          <t>July,2025</t>
        </is>
      </c>
      <c r="B138" t="inlineStr">
        <is>
          <t>TAGG TELESERVICES PRIVATE LIMITED</t>
        </is>
      </c>
      <c r="C138" t="inlineStr">
        <is>
          <t>07AAHCT4293N1ZO</t>
        </is>
      </c>
      <c r="D138" t="inlineStr">
        <is>
          <t>Regular</t>
        </is>
      </c>
      <c r="E138" t="inlineStr">
        <is>
          <t>No</t>
        </is>
      </c>
      <c r="F138" t="inlineStr">
        <is>
          <t>TTSPL20250725</t>
        </is>
      </c>
      <c r="G138" t="inlineStr">
        <is>
          <t>AAHCT4293N_TTSPL20250725</t>
        </is>
      </c>
      <c r="H138" s="7" t="n">
        <v>45869</v>
      </c>
      <c r="I138" s="4" t="n">
        <v>32723</v>
      </c>
      <c r="J138" s="4" t="n">
        <v>27731.74</v>
      </c>
      <c r="K138" t="n">
        <v>0</v>
      </c>
      <c r="L138" s="4" t="n">
        <v>4991.71</v>
      </c>
      <c r="M138" s="4" t="n">
        <v>0</v>
      </c>
      <c r="N138" s="4" t="n">
        <v>0</v>
      </c>
      <c r="O138" s="4" t="n">
        <v>0</v>
      </c>
      <c r="P138">
        <f>VLOOKUP(G138,'GST + Invocie No'!$B$5:$Y$183,24,0)</f>
        <v/>
      </c>
    </row>
    <row r="139">
      <c r="A139" t="inlineStr">
        <is>
          <t>August,2025</t>
        </is>
      </c>
      <c r="B139" t="inlineStr">
        <is>
          <t>TAGG TELESERVICES PRIVATE LIMITED</t>
        </is>
      </c>
      <c r="C139" t="inlineStr">
        <is>
          <t>07AAHCT4293N1ZO</t>
        </is>
      </c>
      <c r="D139" t="inlineStr">
        <is>
          <t>Regular</t>
        </is>
      </c>
      <c r="E139" t="inlineStr">
        <is>
          <t>No</t>
        </is>
      </c>
      <c r="F139" t="inlineStr">
        <is>
          <t>TTSPL20250822</t>
        </is>
      </c>
      <c r="G139" t="inlineStr">
        <is>
          <t>AAHCT4293N_TTSPL20250822</t>
        </is>
      </c>
      <c r="H139" s="7" t="n">
        <v>45900</v>
      </c>
      <c r="I139" s="4" t="n">
        <v>28241.95</v>
      </c>
      <c r="J139" s="4" t="n">
        <v>23933.86</v>
      </c>
      <c r="K139" t="n">
        <v>0</v>
      </c>
      <c r="L139" s="4" t="n">
        <v>4308.09</v>
      </c>
      <c r="M139" s="4" t="n">
        <v>0</v>
      </c>
      <c r="N139" s="4" t="n">
        <v>0</v>
      </c>
      <c r="O139" s="4" t="n">
        <v>0</v>
      </c>
      <c r="P139">
        <f>VLOOKUP(G139,'GST + Invocie No'!$B$5:$Y$183,24,0)</f>
        <v/>
      </c>
    </row>
    <row r="140">
      <c r="A140" t="inlineStr">
        <is>
          <t>September,2025</t>
        </is>
      </c>
      <c r="B140" t="inlineStr">
        <is>
          <t>TAGG TELESERVICES PRIVATE LIMITED</t>
        </is>
      </c>
      <c r="C140" t="inlineStr">
        <is>
          <t>07AAHCT4293N1ZO</t>
        </is>
      </c>
      <c r="D140" t="inlineStr">
        <is>
          <t>Regular</t>
        </is>
      </c>
      <c r="E140" t="inlineStr">
        <is>
          <t>No</t>
        </is>
      </c>
      <c r="F140" t="inlineStr">
        <is>
          <t>TTSPL20250930</t>
        </is>
      </c>
      <c r="G140" t="inlineStr">
        <is>
          <t>AAHCT4293N_TTSPL20250930</t>
        </is>
      </c>
      <c r="H140" s="7" t="n">
        <v>45930</v>
      </c>
      <c r="I140" s="4" t="n">
        <v>26325.55</v>
      </c>
      <c r="J140" s="4" t="n">
        <v>22309.79</v>
      </c>
      <c r="K140" t="n">
        <v>0</v>
      </c>
      <c r="L140" s="4" t="n">
        <v>4015.76</v>
      </c>
      <c r="M140" s="4" t="n">
        <v>0</v>
      </c>
      <c r="N140" s="4" t="n">
        <v>0</v>
      </c>
      <c r="O140" s="4" t="n">
        <v>0</v>
      </c>
      <c r="P140">
        <f>VLOOKUP(G140,'GST + Invocie No'!$B$5:$Y$183,24,0)</f>
        <v/>
      </c>
    </row>
    <row r="141">
      <c r="A141" t="inlineStr">
        <is>
          <t>October,2025</t>
        </is>
      </c>
      <c r="B141" t="inlineStr">
        <is>
          <t>TAGG TELESERVICES PRIVATE LIMITED</t>
        </is>
      </c>
      <c r="C141" t="inlineStr">
        <is>
          <t>07AAHCT4293N1ZO</t>
        </is>
      </c>
      <c r="D141" t="inlineStr">
        <is>
          <t>Regular</t>
        </is>
      </c>
      <c r="E141" t="inlineStr">
        <is>
          <t>No</t>
        </is>
      </c>
      <c r="F141" t="inlineStr">
        <is>
          <t>TTSPL20251023</t>
        </is>
      </c>
      <c r="G141" t="inlineStr">
        <is>
          <t>AAHCT4293N_TTSPL20251023</t>
        </is>
      </c>
      <c r="H141" s="7" t="n">
        <v>45961</v>
      </c>
      <c r="I141" s="4" t="n">
        <v>25085</v>
      </c>
      <c r="J141" s="4" t="n">
        <v>21258.4</v>
      </c>
      <c r="K141" t="n">
        <v>0</v>
      </c>
      <c r="L141" s="4" t="n">
        <v>3826.51</v>
      </c>
      <c r="M141" s="4" t="n">
        <v>0</v>
      </c>
      <c r="N141" s="4" t="n">
        <v>0</v>
      </c>
      <c r="O141" s="4" t="n">
        <v>0</v>
      </c>
      <c r="P141">
        <f>VLOOKUP(G141,'GST + Invocie No'!$B$5:$Y$183,24,0)</f>
        <v/>
      </c>
    </row>
    <row r="142">
      <c r="A142" t="inlineStr">
        <is>
          <t>November,2025</t>
        </is>
      </c>
      <c r="B142" t="inlineStr">
        <is>
          <t>TAGG TELESERVICES PRIVATE LIMITED</t>
        </is>
      </c>
      <c r="C142" t="inlineStr">
        <is>
          <t>07AAHCT4293N1ZO</t>
        </is>
      </c>
      <c r="D142" t="inlineStr">
        <is>
          <t>Regular</t>
        </is>
      </c>
      <c r="E142" t="inlineStr">
        <is>
          <t>No</t>
        </is>
      </c>
      <c r="F142" t="inlineStr">
        <is>
          <t>TTSPL20251114</t>
        </is>
      </c>
      <c r="G142" t="inlineStr">
        <is>
          <t>AAHCT4293N_TTSPL20251114</t>
        </is>
      </c>
      <c r="H142" s="7" t="n">
        <v>45991</v>
      </c>
      <c r="I142" s="4" t="n">
        <v>24172</v>
      </c>
      <c r="J142" s="4" t="n">
        <v>20484.76</v>
      </c>
      <c r="K142" t="n">
        <v>0</v>
      </c>
      <c r="L142" s="4" t="n">
        <v>3687.26</v>
      </c>
      <c r="M142" s="4" t="n">
        <v>0</v>
      </c>
      <c r="N142" s="4" t="n">
        <v>0</v>
      </c>
      <c r="O142" s="4" t="n">
        <v>0</v>
      </c>
      <c r="P142">
        <f>VLOOKUP(G142,'GST + Invocie No'!$B$5:$Y$183,24,0)</f>
        <v/>
      </c>
    </row>
    <row r="143">
      <c r="A143" t="inlineStr">
        <is>
          <t>December,2025</t>
        </is>
      </c>
      <c r="B143" t="inlineStr">
        <is>
          <t>TAGG TELESERVICES PRIVATE LIMITED</t>
        </is>
      </c>
      <c r="C143" t="inlineStr">
        <is>
          <t>07AAHCT4293N1ZO</t>
        </is>
      </c>
      <c r="D143" t="inlineStr">
        <is>
          <t>Regular</t>
        </is>
      </c>
      <c r="E143" t="inlineStr">
        <is>
          <t>No</t>
        </is>
      </c>
      <c r="F143" t="inlineStr">
        <is>
          <t>TTSPL20251225</t>
        </is>
      </c>
      <c r="G143" t="inlineStr">
        <is>
          <t>AAHCT4293N_TTSPL20251225</t>
        </is>
      </c>
      <c r="H143" s="7" t="n">
        <v>46022</v>
      </c>
      <c r="I143" s="4" t="n">
        <v>26612</v>
      </c>
      <c r="J143" s="4" t="n">
        <v>22552.34</v>
      </c>
      <c r="K143" t="n">
        <v>0</v>
      </c>
      <c r="L143" s="4" t="n">
        <v>4059.42</v>
      </c>
      <c r="M143" s="4" t="n">
        <v>0</v>
      </c>
      <c r="N143" s="4" t="n">
        <v>0</v>
      </c>
      <c r="O143" s="4" t="n">
        <v>0</v>
      </c>
      <c r="P143">
        <f>VLOOKUP(G143,'GST + Invocie No'!$B$5:$Y$183,24,0)</f>
        <v/>
      </c>
    </row>
    <row r="144">
      <c r="A144" t="inlineStr">
        <is>
          <t>January,2026</t>
        </is>
      </c>
      <c r="B144" t="inlineStr">
        <is>
          <t>TAGG TELESERVICES PRIVATE LIMITED</t>
        </is>
      </c>
      <c r="C144" t="inlineStr">
        <is>
          <t>07AAHCT4293N1ZO</t>
        </is>
      </c>
      <c r="D144" t="inlineStr">
        <is>
          <t>Regular</t>
        </is>
      </c>
      <c r="E144" t="inlineStr">
        <is>
          <t>No</t>
        </is>
      </c>
      <c r="F144" t="inlineStr">
        <is>
          <t>TTSPL20260124</t>
        </is>
      </c>
      <c r="G144" t="inlineStr">
        <is>
          <t>AAHCT4293N_TTSPL20260124</t>
        </is>
      </c>
      <c r="H144" s="7" t="n">
        <v>46053</v>
      </c>
      <c r="I144" s="4" t="n">
        <v>33783</v>
      </c>
      <c r="J144" s="4" t="n">
        <v>28629.43</v>
      </c>
      <c r="K144" t="n">
        <v>0</v>
      </c>
      <c r="L144" s="4" t="n">
        <v>5153.3</v>
      </c>
      <c r="M144" s="4" t="n">
        <v>0</v>
      </c>
      <c r="N144" s="4" t="n">
        <v>0</v>
      </c>
      <c r="O144" s="4" t="n">
        <v>0</v>
      </c>
      <c r="P144">
        <f>VLOOKUP(G144,'GST + Invocie No'!$B$5:$Y$183,24,0)</f>
        <v/>
      </c>
    </row>
    <row r="145">
      <c r="A145" t="inlineStr">
        <is>
          <t>February,2026</t>
        </is>
      </c>
      <c r="B145" t="inlineStr">
        <is>
          <t>TAGG TELESERVICES PRIVATE LIMITED</t>
        </is>
      </c>
      <c r="C145" t="inlineStr">
        <is>
          <t>07AAHCT4293N1ZO</t>
        </is>
      </c>
      <c r="D145" t="inlineStr">
        <is>
          <t>Regular</t>
        </is>
      </c>
      <c r="E145" t="inlineStr">
        <is>
          <t>No</t>
        </is>
      </c>
      <c r="F145" t="inlineStr">
        <is>
          <t>TTSPL20260217</t>
        </is>
      </c>
      <c r="G145" t="inlineStr">
        <is>
          <t>AAHCT4293N_TTSPL20260217</t>
        </is>
      </c>
      <c r="H145" s="7" t="n">
        <v>46081</v>
      </c>
      <c r="I145" s="4" t="n">
        <v>39046</v>
      </c>
      <c r="J145" s="4" t="n">
        <v>33090.19</v>
      </c>
      <c r="K145" t="n">
        <v>0</v>
      </c>
      <c r="L145" s="4" t="n">
        <v>5956.23</v>
      </c>
      <c r="M145" s="4" t="n">
        <v>0</v>
      </c>
      <c r="N145" s="4" t="n">
        <v>0</v>
      </c>
      <c r="O145" s="4" t="n">
        <v>0</v>
      </c>
      <c r="P145">
        <f>VLOOKUP(G145,'GST + Invocie No'!$B$5:$Y$183,24,0)</f>
        <v/>
      </c>
    </row>
    <row r="146">
      <c r="A146" t="inlineStr">
        <is>
          <t>April,2025</t>
        </is>
      </c>
      <c r="B146" t="inlineStr">
        <is>
          <t>TECHNOWIZARDS PRIVATE LIMITED</t>
        </is>
      </c>
      <c r="C146" t="inlineStr">
        <is>
          <t>27AAICT8273F1ZY</t>
        </is>
      </c>
      <c r="D146" t="inlineStr">
        <is>
          <t>Regular</t>
        </is>
      </c>
      <c r="E146" t="inlineStr">
        <is>
          <t>No</t>
        </is>
      </c>
      <c r="F146" t="inlineStr">
        <is>
          <t>TW/2025-26/1001</t>
        </is>
      </c>
      <c r="G146" t="inlineStr">
        <is>
          <t>AAICT8273F_TW/2025-26/1001</t>
        </is>
      </c>
      <c r="H146" s="7" t="n">
        <v>45748</v>
      </c>
      <c r="I146" s="4" t="n">
        <v>135247.92</v>
      </c>
      <c r="J146" s="4" t="n">
        <v>114616.88</v>
      </c>
      <c r="K146" t="n">
        <v>0</v>
      </c>
      <c r="L146" s="4" t="n">
        <v>0</v>
      </c>
      <c r="M146" s="4" t="n">
        <v>10315.52</v>
      </c>
      <c r="N146" s="4" t="n">
        <v>10315.52</v>
      </c>
      <c r="O146" s="4" t="n">
        <v>0</v>
      </c>
      <c r="P146">
        <f>VLOOKUP(G146,'GST + Invocie No'!$B$5:$Y$183,24,0)</f>
        <v/>
      </c>
    </row>
    <row r="147">
      <c r="A147" t="inlineStr">
        <is>
          <t>May,2025</t>
        </is>
      </c>
      <c r="B147" t="inlineStr">
        <is>
          <t>TECHNOWIZARDS PRIVATE LIMITED</t>
        </is>
      </c>
      <c r="C147" t="inlineStr">
        <is>
          <t>27AAICT8273F1ZY</t>
        </is>
      </c>
      <c r="D147" t="inlineStr">
        <is>
          <t>Regular</t>
        </is>
      </c>
      <c r="E147" t="inlineStr">
        <is>
          <t>No</t>
        </is>
      </c>
      <c r="F147" t="inlineStr">
        <is>
          <t>TW/2025-26/1012</t>
        </is>
      </c>
      <c r="G147" t="inlineStr">
        <is>
          <t>AAICT8273F_TW/2025-26/1012</t>
        </is>
      </c>
      <c r="H147" s="7" t="n">
        <v>45778</v>
      </c>
      <c r="I147" s="4" t="n">
        <v>1414.75</v>
      </c>
      <c r="J147" s="4" t="n">
        <v>1198.94</v>
      </c>
      <c r="K147" t="n">
        <v>0</v>
      </c>
      <c r="L147" s="4" t="n">
        <v>0</v>
      </c>
      <c r="M147" s="4" t="n">
        <v>107.9</v>
      </c>
      <c r="N147" s="4" t="n">
        <v>107.9</v>
      </c>
      <c r="O147" s="4" t="n">
        <v>0</v>
      </c>
      <c r="P147">
        <f>VLOOKUP(G147,'GST + Invocie No'!$B$5:$Y$183,24,0)</f>
        <v/>
      </c>
    </row>
    <row r="148">
      <c r="A148" t="inlineStr">
        <is>
          <t>June,2025</t>
        </is>
      </c>
      <c r="B148" t="inlineStr">
        <is>
          <t>TECHNOWIZARDS PRIVATE LIMITED</t>
        </is>
      </c>
      <c r="C148" t="inlineStr">
        <is>
          <t>27AAICT8273F1ZY</t>
        </is>
      </c>
      <c r="D148" t="inlineStr">
        <is>
          <t>Regular</t>
        </is>
      </c>
      <c r="E148" t="inlineStr">
        <is>
          <t>No</t>
        </is>
      </c>
      <c r="F148" t="inlineStr">
        <is>
          <t>TW/2025-26/1027</t>
        </is>
      </c>
      <c r="G148" t="inlineStr">
        <is>
          <t>AAICT8273F_TW/2025-26/1027</t>
        </is>
      </c>
      <c r="H148" s="7" t="n">
        <v>45809</v>
      </c>
      <c r="I148" s="4" t="n">
        <v>2045.05</v>
      </c>
      <c r="J148" s="4" t="n">
        <v>1733.09</v>
      </c>
      <c r="K148" t="n">
        <v>0</v>
      </c>
      <c r="L148" s="4" t="n">
        <v>0</v>
      </c>
      <c r="M148" s="4" t="n">
        <v>155.98</v>
      </c>
      <c r="N148" s="4" t="n">
        <v>155.98</v>
      </c>
      <c r="O148" s="4" t="n">
        <v>0</v>
      </c>
      <c r="P148">
        <f>VLOOKUP(G148,'GST + Invocie No'!$B$5:$Y$183,24,0)</f>
        <v/>
      </c>
    </row>
    <row r="149">
      <c r="A149" t="inlineStr">
        <is>
          <t>July,2025</t>
        </is>
      </c>
      <c r="B149" t="inlineStr">
        <is>
          <t>TECHNOWIZARDS PRIVATE LIMITED</t>
        </is>
      </c>
      <c r="C149" t="inlineStr">
        <is>
          <t>27AAICT8273F1ZY</t>
        </is>
      </c>
      <c r="D149" t="inlineStr">
        <is>
          <t>Regular</t>
        </is>
      </c>
      <c r="E149" t="inlineStr">
        <is>
          <t>No</t>
        </is>
      </c>
      <c r="F149" t="inlineStr">
        <is>
          <t>TW/2025-26/1045</t>
        </is>
      </c>
      <c r="G149" t="inlineStr">
        <is>
          <t>AAICT8273F_TW/2025-26/1045</t>
        </is>
      </c>
      <c r="H149" s="7" t="n">
        <v>45839</v>
      </c>
      <c r="I149" s="4" t="n">
        <v>2905.6</v>
      </c>
      <c r="J149" s="4" t="n">
        <v>2462.37</v>
      </c>
      <c r="K149" t="n">
        <v>0</v>
      </c>
      <c r="L149" s="4" t="n">
        <v>0</v>
      </c>
      <c r="M149" s="4" t="n">
        <v>221.61</v>
      </c>
      <c r="N149" s="4" t="n">
        <v>221.61</v>
      </c>
      <c r="O149" s="4" t="n">
        <v>0</v>
      </c>
      <c r="P149">
        <f>VLOOKUP(G149,'GST + Invocie No'!$B$5:$Y$183,24,0)</f>
        <v/>
      </c>
    </row>
    <row r="150">
      <c r="A150" t="inlineStr">
        <is>
          <t>September,2025</t>
        </is>
      </c>
      <c r="B150" t="inlineStr">
        <is>
          <t>TECHNOWIZARDS PRIVATE LIMITED</t>
        </is>
      </c>
      <c r="C150" t="inlineStr">
        <is>
          <t>27AAICT8273F1ZY</t>
        </is>
      </c>
      <c r="D150" t="inlineStr">
        <is>
          <t>Regular</t>
        </is>
      </c>
      <c r="E150" t="inlineStr">
        <is>
          <t>No</t>
        </is>
      </c>
      <c r="F150" t="inlineStr">
        <is>
          <t>TW/2025-26/1076</t>
        </is>
      </c>
      <c r="G150" t="inlineStr">
        <is>
          <t>AAICT8273F_TW/2025-26/1076</t>
        </is>
      </c>
      <c r="H150" s="7" t="n">
        <v>45901</v>
      </c>
      <c r="I150" s="4" t="n">
        <v>28.58</v>
      </c>
      <c r="J150" s="4" t="n">
        <v>24.22</v>
      </c>
      <c r="K150" t="n">
        <v>0</v>
      </c>
      <c r="L150" s="4" t="n">
        <v>0</v>
      </c>
      <c r="M150" s="4" t="n">
        <v>2.18</v>
      </c>
      <c r="N150" s="4" t="n">
        <v>2.18</v>
      </c>
      <c r="O150" s="4" t="n">
        <v>0</v>
      </c>
      <c r="P150">
        <f>VLOOKUP(G150,'GST + Invocie No'!$B$5:$Y$183,24,0)</f>
        <v/>
      </c>
    </row>
    <row r="151">
      <c r="A151" t="inlineStr">
        <is>
          <t>October,2025</t>
        </is>
      </c>
      <c r="B151" t="inlineStr">
        <is>
          <t>TECHNOWIZARDS PRIVATE LIMITED</t>
        </is>
      </c>
      <c r="C151" t="inlineStr">
        <is>
          <t>27AAICT8273F1ZY</t>
        </is>
      </c>
      <c r="D151" t="inlineStr">
        <is>
          <t>Regular</t>
        </is>
      </c>
      <c r="E151" t="inlineStr">
        <is>
          <t>No</t>
        </is>
      </c>
      <c r="F151" t="inlineStr">
        <is>
          <t>TW/2025-26/1086</t>
        </is>
      </c>
      <c r="G151" t="inlineStr">
        <is>
          <t>AAICT8273F_TW/2025-26/1086</t>
        </is>
      </c>
      <c r="H151" s="7" t="n">
        <v>45931</v>
      </c>
      <c r="I151" s="4" t="n">
        <v>60.42</v>
      </c>
      <c r="J151" s="4" t="n">
        <v>51.2</v>
      </c>
      <c r="K151" t="n">
        <v>0</v>
      </c>
      <c r="L151" s="4" t="n">
        <v>0</v>
      </c>
      <c r="M151" s="4" t="n">
        <v>4.61</v>
      </c>
      <c r="N151" s="4" t="n">
        <v>4.61</v>
      </c>
      <c r="O151" s="4" t="n">
        <v>0</v>
      </c>
      <c r="P151">
        <f>VLOOKUP(G151,'GST + Invocie No'!$B$5:$Y$183,24,0)</f>
        <v/>
      </c>
    </row>
    <row r="152">
      <c r="A152" t="inlineStr">
        <is>
          <t>May,2025</t>
        </is>
      </c>
      <c r="B152" t="inlineStr">
        <is>
          <t>TEXTCELL</t>
        </is>
      </c>
      <c r="C152" t="inlineStr">
        <is>
          <t>27BVDPM7213A1ZZ</t>
        </is>
      </c>
      <c r="D152" t="inlineStr">
        <is>
          <t>Regular</t>
        </is>
      </c>
      <c r="E152" t="inlineStr">
        <is>
          <t>No</t>
        </is>
      </c>
      <c r="F152" t="inlineStr">
        <is>
          <t>2020198</t>
        </is>
      </c>
      <c r="G152" t="inlineStr">
        <is>
          <t>BVDPM7213A_2020198</t>
        </is>
      </c>
      <c r="H152" s="7" t="n">
        <v>45721</v>
      </c>
      <c r="I152" s="4" t="n">
        <v>368830</v>
      </c>
      <c r="J152" s="4" t="n">
        <v>312568</v>
      </c>
      <c r="K152" t="n">
        <v>0</v>
      </c>
      <c r="L152" s="4" t="n">
        <v>0</v>
      </c>
      <c r="M152" s="4" t="n">
        <v>28131</v>
      </c>
      <c r="N152" s="4" t="n">
        <v>28131</v>
      </c>
      <c r="O152" s="4" t="n">
        <v>0</v>
      </c>
      <c r="P152">
        <f>VLOOKUP(G152,'GST + Invocie No'!$B$5:$Y$183,24,0)</f>
        <v/>
      </c>
    </row>
    <row r="153">
      <c r="A153" t="inlineStr">
        <is>
          <t>June,2025</t>
        </is>
      </c>
      <c r="B153" t="inlineStr">
        <is>
          <t>VANDAN INFOTECH</t>
        </is>
      </c>
      <c r="C153" t="inlineStr">
        <is>
          <t>27AABPV6272G1ZF</t>
        </is>
      </c>
      <c r="D153" t="inlineStr">
        <is>
          <t>Regular</t>
        </is>
      </c>
      <c r="E153" t="inlineStr">
        <is>
          <t>No</t>
        </is>
      </c>
      <c r="F153" t="inlineStr">
        <is>
          <t>SER/25-26/05/08</t>
        </is>
      </c>
      <c r="G153" t="inlineStr">
        <is>
          <t>AABPV6272G_SER/25-26/05/08</t>
        </is>
      </c>
      <c r="H153" s="7" t="n">
        <v>45803</v>
      </c>
      <c r="I153" s="4" t="n">
        <v>9558</v>
      </c>
      <c r="J153" s="4" t="n">
        <v>8100</v>
      </c>
      <c r="K153" t="n">
        <v>0</v>
      </c>
      <c r="L153" s="4" t="n">
        <v>0</v>
      </c>
      <c r="M153" s="4" t="n">
        <v>729</v>
      </c>
      <c r="N153" s="4" t="n">
        <v>729</v>
      </c>
      <c r="O153" s="4" t="n">
        <v>0</v>
      </c>
      <c r="P153">
        <f>VLOOKUP(G153,'GST + Invocie No'!$B$5:$Y$183,24,0)</f>
        <v/>
      </c>
    </row>
    <row r="154">
      <c r="A154" t="inlineStr">
        <is>
          <t>March,2026</t>
        </is>
      </c>
      <c r="B154" t="inlineStr">
        <is>
          <t>DOVE SOFT PRIVATE LIMITED</t>
        </is>
      </c>
      <c r="C154" t="inlineStr">
        <is>
          <t>27AADCD9460D1ZO</t>
        </is>
      </c>
      <c r="D154" t="inlineStr">
        <is>
          <t>DN</t>
        </is>
      </c>
      <c r="E154" t="inlineStr">
        <is>
          <t>No</t>
        </is>
      </c>
      <c r="F154" t="inlineStr">
        <is>
          <t>79</t>
        </is>
      </c>
      <c r="G154" t="inlineStr">
        <is>
          <t>AADCD9460D_79</t>
        </is>
      </c>
      <c r="H154" s="7" t="n">
        <v>46112</v>
      </c>
      <c r="I154" s="4" t="n">
        <v>-118000</v>
      </c>
      <c r="J154" s="4" t="n">
        <v>-100000</v>
      </c>
      <c r="K154" t="n">
        <v>0</v>
      </c>
      <c r="L154" s="4" t="n">
        <v>0</v>
      </c>
      <c r="M154" s="4" t="n">
        <v>-9000</v>
      </c>
      <c r="N154" s="4" t="n">
        <v>-9000</v>
      </c>
      <c r="O154" s="4" t="n">
        <v>0</v>
      </c>
      <c r="P154">
        <f>VLOOKUP(G154,'GST + Invocie No'!$B$5:$Y$183,24,0)</f>
        <v/>
      </c>
    </row>
    <row r="155">
      <c r="A155" t="inlineStr">
        <is>
          <t>May,2025</t>
        </is>
      </c>
      <c r="B155" t="inlineStr">
        <is>
          <t>FACEBOOK INDIA ONLINE SERVICES PRIVATE LIMITED</t>
        </is>
      </c>
      <c r="C155" t="inlineStr">
        <is>
          <t>06AABCF5150G1ZZ</t>
        </is>
      </c>
      <c r="D155" t="inlineStr">
        <is>
          <t>DN</t>
        </is>
      </c>
      <c r="E155" t="inlineStr">
        <is>
          <t>No</t>
        </is>
      </c>
      <c r="F155" t="inlineStr">
        <is>
          <t>ADS406-104399344</t>
        </is>
      </c>
      <c r="G155" t="inlineStr">
        <is>
          <t>AABCF5150G_ADS406-104399344</t>
        </is>
      </c>
      <c r="H155" s="7" t="n">
        <v>45786</v>
      </c>
      <c r="I155" s="4" t="n">
        <v>-19.3</v>
      </c>
      <c r="J155" s="4" t="n">
        <v>-16.36</v>
      </c>
      <c r="K155" t="n">
        <v>0</v>
      </c>
      <c r="L155" s="4" t="n">
        <v>-2.94</v>
      </c>
      <c r="M155" s="4" t="n">
        <v>0</v>
      </c>
      <c r="N155" s="4" t="n">
        <v>0</v>
      </c>
      <c r="O155" s="4" t="n">
        <v>0</v>
      </c>
      <c r="P155">
        <f>VLOOKUP(G155,'GST + Invocie No'!$B$5:$Y$183,24,0)</f>
        <v/>
      </c>
    </row>
    <row r="156">
      <c r="A156" t="inlineStr">
        <is>
          <t>June,2025</t>
        </is>
      </c>
      <c r="B156" t="inlineStr">
        <is>
          <t>FACEBOOK INDIA ONLINE SERVICES PRIVATE LIMITED</t>
        </is>
      </c>
      <c r="C156" t="inlineStr">
        <is>
          <t>06AABCF5150G1ZZ</t>
        </is>
      </c>
      <c r="D156" t="inlineStr">
        <is>
          <t>DN</t>
        </is>
      </c>
      <c r="E156" t="inlineStr">
        <is>
          <t>No</t>
        </is>
      </c>
      <c r="F156" t="inlineStr">
        <is>
          <t>ADS406-104513598</t>
        </is>
      </c>
      <c r="G156" t="inlineStr">
        <is>
          <t>AABCF5150G_ADS406-104513598</t>
        </is>
      </c>
      <c r="H156" s="7" t="n">
        <v>45821</v>
      </c>
      <c r="I156" s="4" t="n">
        <v>-0.47</v>
      </c>
      <c r="J156" s="4" t="n">
        <v>-0.4</v>
      </c>
      <c r="K156" t="n">
        <v>0</v>
      </c>
      <c r="L156" s="4" t="n">
        <v>-0.07000000000000001</v>
      </c>
      <c r="M156" s="4" t="n">
        <v>0</v>
      </c>
      <c r="N156" s="4" t="n">
        <v>0</v>
      </c>
      <c r="O156" s="4" t="n">
        <v>0</v>
      </c>
      <c r="P156">
        <f>VLOOKUP(G156,'GST + Invocie No'!$B$5:$Y$183,24,0)</f>
        <v/>
      </c>
    </row>
    <row r="157">
      <c r="A157" t="inlineStr">
        <is>
          <t>June,2025</t>
        </is>
      </c>
      <c r="B157" t="inlineStr">
        <is>
          <t>MATHIA &amp; CO.</t>
        </is>
      </c>
      <c r="C157" t="inlineStr">
        <is>
          <t>27AAWFM3818Q1Z9</t>
        </is>
      </c>
      <c r="D157" t="inlineStr">
        <is>
          <t>DN</t>
        </is>
      </c>
      <c r="E157" t="inlineStr">
        <is>
          <t>No</t>
        </is>
      </c>
      <c r="F157" t="inlineStr">
        <is>
          <t>MCO2526842</t>
        </is>
      </c>
      <c r="G157" t="inlineStr">
        <is>
          <t>AAWFM3818Q_MCO2526842</t>
        </is>
      </c>
      <c r="H157" s="7" t="n">
        <v>45833</v>
      </c>
      <c r="I157" s="4" t="n">
        <v>-36875</v>
      </c>
      <c r="J157" s="4" t="n">
        <v>-31250</v>
      </c>
      <c r="K157" t="n">
        <v>0</v>
      </c>
      <c r="L157" s="4" t="n">
        <v>0</v>
      </c>
      <c r="M157" s="4" t="n">
        <v>-2812.5</v>
      </c>
      <c r="N157" s="4" t="n">
        <v>-2812.5</v>
      </c>
      <c r="O157" s="4" t="n">
        <v>0</v>
      </c>
      <c r="P157">
        <f>VLOOKUP(G157,'GST + Invocie No'!$B$5:$Y$183,24,0)</f>
        <v/>
      </c>
    </row>
    <row r="158">
      <c r="A158" t="inlineStr">
        <is>
          <t>February,2026</t>
        </is>
      </c>
      <c r="B158" t="inlineStr">
        <is>
          <t>MATHIA AND CO</t>
        </is>
      </c>
      <c r="C158" t="inlineStr">
        <is>
          <t>07AAWFM3818Q1ZB</t>
        </is>
      </c>
      <c r="D158" t="inlineStr">
        <is>
          <t>DN</t>
        </is>
      </c>
      <c r="E158" t="inlineStr">
        <is>
          <t>No</t>
        </is>
      </c>
      <c r="F158" t="inlineStr">
        <is>
          <t>MCO-D252650</t>
        </is>
      </c>
      <c r="G158" t="inlineStr">
        <is>
          <t>AAWFM3818Q_MCO-D252650</t>
        </is>
      </c>
      <c r="H158" s="7" t="n">
        <v>46072</v>
      </c>
      <c r="I158" s="4" t="n">
        <v>-295000</v>
      </c>
      <c r="J158" s="4" t="n">
        <v>-250000</v>
      </c>
      <c r="K158" t="n">
        <v>0</v>
      </c>
      <c r="L158" s="4" t="n">
        <v>-45000</v>
      </c>
      <c r="M158" s="4" t="n">
        <v>0</v>
      </c>
      <c r="N158" s="4" t="n">
        <v>0</v>
      </c>
      <c r="O158" s="4" t="n">
        <v>0</v>
      </c>
      <c r="P158">
        <f>VLOOKUP(G158,'GST + Invocie No'!$B$5:$Y$183,24,0)</f>
        <v/>
      </c>
    </row>
    <row r="159">
      <c r="A159" t="inlineStr">
        <is>
          <t>December,2025</t>
        </is>
      </c>
      <c r="B159" t="inlineStr">
        <is>
          <t>Mobeep Communications Private Limited</t>
        </is>
      </c>
      <c r="C159" t="inlineStr">
        <is>
          <t>23AAQCM8669N1ZG</t>
        </is>
      </c>
      <c r="D159" t="inlineStr">
        <is>
          <t>DN</t>
        </is>
      </c>
      <c r="E159" t="inlineStr">
        <is>
          <t>No</t>
        </is>
      </c>
      <c r="F159" t="inlineStr">
        <is>
          <t>MCPL/CN/25-26/1</t>
        </is>
      </c>
      <c r="G159" t="inlineStr">
        <is>
          <t>AAQCM8669N_MCPL/CN/25-26/1</t>
        </is>
      </c>
      <c r="H159" s="7" t="n">
        <v>46006</v>
      </c>
      <c r="I159" s="4" t="n">
        <v>-688328</v>
      </c>
      <c r="J159" s="4" t="n">
        <v>-583328.28</v>
      </c>
      <c r="K159" t="n">
        <v>0</v>
      </c>
      <c r="L159" s="4" t="n">
        <v>-105000</v>
      </c>
      <c r="M159" s="4" t="n">
        <v>0</v>
      </c>
      <c r="N159" s="4" t="n">
        <v>0</v>
      </c>
      <c r="O159" s="4" t="n">
        <v>0</v>
      </c>
      <c r="P159">
        <f>VLOOKUP(G159,'GST + Invocie No'!$B$5:$Y$183,24,0)</f>
        <v/>
      </c>
    </row>
    <row r="160">
      <c r="A160" t="inlineStr">
        <is>
          <t>January,2026</t>
        </is>
      </c>
      <c r="B160" t="inlineStr">
        <is>
          <t>SAVVY BUSINESS SOLUTIONS PRIVATE LIMITED</t>
        </is>
      </c>
      <c r="C160" t="inlineStr">
        <is>
          <t>27AAOCS8108A1ZD</t>
        </is>
      </c>
      <c r="D160" t="inlineStr">
        <is>
          <t>DN</t>
        </is>
      </c>
      <c r="E160" t="inlineStr">
        <is>
          <t>No</t>
        </is>
      </c>
      <c r="F160" t="inlineStr">
        <is>
          <t>SB2526967</t>
        </is>
      </c>
      <c r="G160" t="inlineStr">
        <is>
          <t>AAOCS8108A_SB2526967</t>
        </is>
      </c>
      <c r="H160" s="7" t="n">
        <v>46052</v>
      </c>
      <c r="I160" s="4" t="n">
        <v>-70800</v>
      </c>
      <c r="J160" s="4" t="n">
        <v>-60000</v>
      </c>
      <c r="K160" t="n">
        <v>0</v>
      </c>
      <c r="L160" s="4" t="n">
        <v>0</v>
      </c>
      <c r="M160" s="4" t="n">
        <v>-5400</v>
      </c>
      <c r="N160" s="4" t="n">
        <v>-5400</v>
      </c>
      <c r="O160" s="4" t="n">
        <v>0</v>
      </c>
      <c r="P160">
        <f>VLOOKUP(G160,'GST + Invocie No'!$B$5:$Y$183,24,0)</f>
        <v/>
      </c>
    </row>
    <row r="161">
      <c r="A161" t="inlineStr">
        <is>
          <t>January,2026</t>
        </is>
      </c>
      <c r="B161" t="inlineStr">
        <is>
          <t>SAVVY BUSINESS SOLUTIONS PRIVATE LIMITED</t>
        </is>
      </c>
      <c r="C161" t="inlineStr">
        <is>
          <t>27AAOCS8108A1ZD</t>
        </is>
      </c>
      <c r="D161" t="inlineStr">
        <is>
          <t>DN</t>
        </is>
      </c>
      <c r="E161" t="inlineStr">
        <is>
          <t>No</t>
        </is>
      </c>
      <c r="F161" t="inlineStr">
        <is>
          <t>SB2526968</t>
        </is>
      </c>
      <c r="G161" t="inlineStr">
        <is>
          <t>AAOCS8108A_SB2526968</t>
        </is>
      </c>
      <c r="H161" s="7" t="n">
        <v>46052</v>
      </c>
      <c r="I161" s="4" t="n">
        <v>-17700</v>
      </c>
      <c r="J161" s="4" t="n">
        <v>-15000</v>
      </c>
      <c r="K161" t="n">
        <v>0</v>
      </c>
      <c r="L161" s="4" t="n">
        <v>0</v>
      </c>
      <c r="M161" s="4" t="n">
        <v>-1350</v>
      </c>
      <c r="N161" s="4" t="n">
        <v>-1350</v>
      </c>
      <c r="O161" s="4" t="n">
        <v>0</v>
      </c>
      <c r="P161">
        <f>VLOOKUP(G161,'GST + Invocie No'!$B$5:$Y$183,24,0)</f>
        <v/>
      </c>
    </row>
    <row r="162">
      <c r="A162" t="inlineStr">
        <is>
          <t>January,2026</t>
        </is>
      </c>
      <c r="B162" t="inlineStr">
        <is>
          <t>SAVVY BUSINESS SOLUTIONS PRIVATE LIMITED</t>
        </is>
      </c>
      <c r="C162" t="inlineStr">
        <is>
          <t>27AAOCS8108A1ZD</t>
        </is>
      </c>
      <c r="D162" t="inlineStr">
        <is>
          <t>DN</t>
        </is>
      </c>
      <c r="E162" t="inlineStr">
        <is>
          <t>No</t>
        </is>
      </c>
      <c r="F162" t="inlineStr">
        <is>
          <t>SB2526969</t>
        </is>
      </c>
      <c r="G162" t="inlineStr">
        <is>
          <t>AAOCS8108A_SB2526969</t>
        </is>
      </c>
      <c r="H162" s="7" t="n">
        <v>46052</v>
      </c>
      <c r="I162" s="4" t="n">
        <v>-17700</v>
      </c>
      <c r="J162" s="4" t="n">
        <v>-15000</v>
      </c>
      <c r="K162" t="n">
        <v>0</v>
      </c>
      <c r="L162" s="4" t="n">
        <v>0</v>
      </c>
      <c r="M162" s="4" t="n">
        <v>-1350</v>
      </c>
      <c r="N162" s="4" t="n">
        <v>-1350</v>
      </c>
      <c r="O162" s="4" t="n">
        <v>0</v>
      </c>
      <c r="P162">
        <f>VLOOKUP(G162,'GST + Invocie No'!$B$5:$Y$183,24,0)</f>
        <v/>
      </c>
    </row>
    <row r="163">
      <c r="A163" t="inlineStr">
        <is>
          <t>January,2026</t>
        </is>
      </c>
      <c r="B163" t="inlineStr">
        <is>
          <t>SAVVY BUSINESS SOLUTIONS PRIVATE LIMITED</t>
        </is>
      </c>
      <c r="C163" t="inlineStr">
        <is>
          <t>27AAOCS8108A1ZD</t>
        </is>
      </c>
      <c r="D163" t="inlineStr">
        <is>
          <t>DN</t>
        </is>
      </c>
      <c r="E163" t="inlineStr">
        <is>
          <t>No</t>
        </is>
      </c>
      <c r="F163" t="inlineStr">
        <is>
          <t>SB2526970</t>
        </is>
      </c>
      <c r="G163" t="inlineStr">
        <is>
          <t>AAOCS8108A_SB2526970</t>
        </is>
      </c>
      <c r="H163" s="7" t="n">
        <v>46052</v>
      </c>
      <c r="I163" s="4" t="n">
        <v>-17700</v>
      </c>
      <c r="J163" s="4" t="n">
        <v>-15000</v>
      </c>
      <c r="K163" t="n">
        <v>0</v>
      </c>
      <c r="L163" s="4" t="n">
        <v>0</v>
      </c>
      <c r="M163" s="4" t="n">
        <v>-1350</v>
      </c>
      <c r="N163" s="4" t="n">
        <v>-1350</v>
      </c>
      <c r="O163" s="4" t="n">
        <v>0</v>
      </c>
      <c r="P163">
        <f>VLOOKUP(G163,'GST + Invocie No'!$B$5:$Y$183,24,0)</f>
        <v/>
      </c>
    </row>
    <row r="164">
      <c r="A164" t="inlineStr">
        <is>
          <t>January,2026</t>
        </is>
      </c>
      <c r="B164" t="inlineStr">
        <is>
          <t>SAVVY BUSINESS SOLUTIONS PRIVATE LIMITED</t>
        </is>
      </c>
      <c r="C164" t="inlineStr">
        <is>
          <t>27AAOCS8108A1ZD</t>
        </is>
      </c>
      <c r="D164" t="inlineStr">
        <is>
          <t>DN</t>
        </is>
      </c>
      <c r="E164" t="inlineStr">
        <is>
          <t>No</t>
        </is>
      </c>
      <c r="F164" t="inlineStr">
        <is>
          <t>SB2526971</t>
        </is>
      </c>
      <c r="G164" t="inlineStr">
        <is>
          <t>AAOCS8108A_SB2526971</t>
        </is>
      </c>
      <c r="H164" s="7" t="n">
        <v>46052</v>
      </c>
      <c r="I164" s="4" t="n">
        <v>-17700</v>
      </c>
      <c r="J164" s="4" t="n">
        <v>-15000</v>
      </c>
      <c r="K164" t="n">
        <v>0</v>
      </c>
      <c r="L164" s="4" t="n">
        <v>0</v>
      </c>
      <c r="M164" s="4" t="n">
        <v>-1350</v>
      </c>
      <c r="N164" s="4" t="n">
        <v>-1350</v>
      </c>
      <c r="O164" s="4" t="n">
        <v>0</v>
      </c>
      <c r="P164">
        <f>VLOOKUP(G164,'GST + Invocie No'!$B$5:$Y$183,24,0)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15" customWidth="1" min="4" max="4"/>
    <col width="17" customWidth="1" min="5" max="5"/>
    <col width="19" customWidth="1" min="6" max="6"/>
    <col width="30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/>
    <row r="2"/>
    <row r="3">
      <c r="A3" s="8" t="inlineStr">
        <is>
          <t>Period</t>
        </is>
      </c>
      <c r="B3" s="8" t="inlineStr">
        <is>
          <t>Trade/Legal name</t>
        </is>
      </c>
      <c r="C3" s="8" t="inlineStr">
        <is>
          <t>GSTIN/PAN</t>
        </is>
      </c>
      <c r="D3" s="8" t="inlineStr">
        <is>
          <t>Invoice Type</t>
        </is>
      </c>
      <c r="E3" s="8" t="inlineStr">
        <is>
          <t>Reverse Charge</t>
        </is>
      </c>
      <c r="F3" s="8" t="inlineStr">
        <is>
          <t>Invoice No</t>
        </is>
      </c>
      <c r="G3" s="8" t="inlineStr">
        <is>
          <t>Key</t>
        </is>
      </c>
      <c r="H3" s="8" t="inlineStr">
        <is>
          <t>Invoice Date</t>
        </is>
      </c>
      <c r="I3" s="8" t="inlineStr">
        <is>
          <t>Invoice Value</t>
        </is>
      </c>
      <c r="J3" s="8" t="inlineStr">
        <is>
          <t>Taxable Value</t>
        </is>
      </c>
      <c r="K3" s="8" t="inlineStr">
        <is>
          <t>Tax Rate</t>
        </is>
      </c>
      <c r="L3" s="8" t="inlineStr">
        <is>
          <t>IGST</t>
        </is>
      </c>
      <c r="M3" s="8" t="inlineStr">
        <is>
          <t>CGST</t>
        </is>
      </c>
      <c r="N3" s="8" t="inlineStr">
        <is>
          <t>SGST</t>
        </is>
      </c>
      <c r="O3" s="8" t="inlineStr">
        <is>
          <t>Cess</t>
        </is>
      </c>
      <c r="P3" s="8" t="inlineStr">
        <is>
          <t xml:space="preserve">Final Report </t>
        </is>
      </c>
    </row>
    <row r="4">
      <c r="A4" s="7" t="n">
        <v>45748</v>
      </c>
      <c r="B4" t="inlineStr">
        <is>
          <t>Technowizards Private Limited</t>
        </is>
      </c>
      <c r="C4" t="inlineStr">
        <is>
          <t>27AAICT8273F1ZY</t>
        </is>
      </c>
      <c r="D4" t="inlineStr">
        <is>
          <t>Purchase</t>
        </is>
      </c>
      <c r="E4" t="inlineStr"/>
      <c r="F4" t="inlineStr">
        <is>
          <t>TW/25-26/1001</t>
        </is>
      </c>
      <c r="G4" t="inlineStr">
        <is>
          <t>AAICT8273F_TW/25-26/1001</t>
        </is>
      </c>
      <c r="H4" s="7" t="n">
        <v>45748</v>
      </c>
      <c r="I4" s="4" t="n">
        <v>135247.92</v>
      </c>
      <c r="J4" s="4" t="n">
        <v>114616.88</v>
      </c>
      <c r="K4" t="n">
        <v>18</v>
      </c>
      <c r="L4" s="4" t="n">
        <v>0</v>
      </c>
      <c r="M4" s="4" t="n">
        <v>10315.52</v>
      </c>
      <c r="N4" s="4" t="n">
        <v>10315.52</v>
      </c>
      <c r="O4" s="4" t="n">
        <v>0</v>
      </c>
      <c r="P4">
        <f>VLOOKUP(G4,'GST + Invocie No'!$B$5:$Y$183,24,0)</f>
        <v/>
      </c>
    </row>
    <row r="5">
      <c r="A5" s="7" t="n">
        <v>45748</v>
      </c>
      <c r="B5" t="inlineStr">
        <is>
          <t>Proactive Professional Services Pvt. Ltd.</t>
        </is>
      </c>
      <c r="C5" t="inlineStr">
        <is>
          <t>08AAECP9085D2Z5</t>
        </is>
      </c>
      <c r="D5" t="inlineStr">
        <is>
          <t>Purchase</t>
        </is>
      </c>
      <c r="E5" t="inlineStr"/>
      <c r="F5" t="inlineStr">
        <is>
          <t>PPSPL/25-26/0011</t>
        </is>
      </c>
      <c r="G5" t="inlineStr">
        <is>
          <t>AAECP9085D_PPSPL/25-26/0011</t>
        </is>
      </c>
      <c r="H5" s="7" t="n">
        <v>45750</v>
      </c>
      <c r="I5" s="4" t="n">
        <v>2986597.62</v>
      </c>
      <c r="J5" s="4" t="n">
        <v>2531014.93</v>
      </c>
      <c r="K5" t="n">
        <v>18</v>
      </c>
      <c r="L5" s="4" t="n">
        <v>455582.69</v>
      </c>
      <c r="M5" s="4" t="n">
        <v>0</v>
      </c>
      <c r="N5" s="4" t="n">
        <v>0</v>
      </c>
      <c r="O5" s="4" t="n">
        <v>0</v>
      </c>
      <c r="P5">
        <f>VLOOKUP(G5,'GST + Invocie No'!$B$5:$Y$183,24,0)</f>
        <v/>
      </c>
    </row>
    <row r="6">
      <c r="A6" s="7" t="n">
        <v>45748</v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Purchase</t>
        </is>
      </c>
      <c r="E6" t="inlineStr"/>
      <c r="F6" t="inlineStr">
        <is>
          <t>BMPL0036</t>
        </is>
      </c>
      <c r="G6" t="inlineStr">
        <is>
          <t>AALCB9501D_BMPL0036</t>
        </is>
      </c>
      <c r="H6" s="7" t="n">
        <v>45753</v>
      </c>
      <c r="I6" s="4" t="n">
        <v>2057423.18</v>
      </c>
      <c r="J6" s="4" t="n">
        <v>1743578.96</v>
      </c>
      <c r="K6" t="n">
        <v>18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s="7" t="n">
        <v>45748</v>
      </c>
      <c r="B7" t="inlineStr">
        <is>
          <t>Dove Soft  Ltd (P)</t>
        </is>
      </c>
      <c r="C7" t="inlineStr">
        <is>
          <t>27AADCD9460D1ZO</t>
        </is>
      </c>
      <c r="D7" t="inlineStr">
        <is>
          <t>Purchase</t>
        </is>
      </c>
      <c r="E7" t="inlineStr"/>
      <c r="F7" t="inlineStr">
        <is>
          <t>25-26/4/214</t>
        </is>
      </c>
      <c r="G7" t="inlineStr">
        <is>
          <t>AADCD9460D_25-26/4/214</t>
        </is>
      </c>
      <c r="H7" s="7" t="n">
        <v>45777</v>
      </c>
      <c r="I7" s="4" t="n">
        <v>11800</v>
      </c>
      <c r="J7" s="4" t="n">
        <v>10000</v>
      </c>
      <c r="K7" t="n">
        <v>18</v>
      </c>
      <c r="L7" s="4" t="n">
        <v>0</v>
      </c>
      <c r="M7" s="4" t="n">
        <v>900</v>
      </c>
      <c r="N7" s="4" t="n">
        <v>900</v>
      </c>
      <c r="O7" s="4" t="n">
        <v>0</v>
      </c>
      <c r="P7">
        <f>VLOOKUP(G7,'GST + Invocie No'!$B$5:$Y$183,24,0)</f>
        <v/>
      </c>
    </row>
    <row r="8">
      <c r="A8" s="7" t="n">
        <v>45748</v>
      </c>
      <c r="B8" t="inlineStr">
        <is>
          <t>TAGG TELESERVICES PRIVATE LIMITED</t>
        </is>
      </c>
      <c r="C8" t="inlineStr">
        <is>
          <t>07AAHCT4293N1ZO</t>
        </is>
      </c>
      <c r="D8" t="inlineStr">
        <is>
          <t>Purchase</t>
        </is>
      </c>
      <c r="E8" t="inlineStr"/>
      <c r="F8" t="inlineStr">
        <is>
          <t>TTSPL20250425</t>
        </is>
      </c>
      <c r="G8" t="inlineStr">
        <is>
          <t>AAHCT4293N_TTSPL20250425</t>
        </is>
      </c>
      <c r="H8" s="7" t="n">
        <v>45777</v>
      </c>
      <c r="I8" s="4" t="n">
        <v>22514.11</v>
      </c>
      <c r="J8" s="4" t="n">
        <v>19079.75</v>
      </c>
      <c r="K8" t="n">
        <v>18</v>
      </c>
      <c r="L8" s="4" t="n">
        <v>3434.36</v>
      </c>
      <c r="M8" s="4" t="n">
        <v>0</v>
      </c>
      <c r="N8" s="4" t="n">
        <v>0</v>
      </c>
      <c r="O8" s="4" t="n">
        <v>0</v>
      </c>
      <c r="P8">
        <f>VLOOKUP(G8,'GST + Invocie No'!$B$5:$Y$183,24,0)</f>
        <v/>
      </c>
    </row>
    <row r="9">
      <c r="A9" s="7" t="n">
        <v>45748</v>
      </c>
      <c r="B9" t="inlineStr">
        <is>
          <t>SEVEN OCEANS TELESERVICES PRIVATE LIMITED</t>
        </is>
      </c>
      <c r="C9" t="inlineStr">
        <is>
          <t>27ABDCS7338G1Z4</t>
        </is>
      </c>
      <c r="D9" t="inlineStr">
        <is>
          <t>Purchase</t>
        </is>
      </c>
      <c r="E9" t="inlineStr"/>
      <c r="F9" t="inlineStr">
        <is>
          <t>STPL/25-26/012</t>
        </is>
      </c>
      <c r="G9" t="inlineStr">
        <is>
          <t>ABDCS7338G_STPL/25-26/012</t>
        </is>
      </c>
      <c r="H9" s="7" t="n">
        <v>45777</v>
      </c>
      <c r="I9" s="4" t="n">
        <v>627588.64</v>
      </c>
      <c r="J9" s="4" t="n">
        <v>531854.78</v>
      </c>
      <c r="K9" t="n">
        <v>18</v>
      </c>
      <c r="L9" s="4" t="n">
        <v>0</v>
      </c>
      <c r="M9" s="4" t="n">
        <v>47866.93</v>
      </c>
      <c r="N9" s="4" t="n">
        <v>47866.93</v>
      </c>
      <c r="O9" s="4" t="n">
        <v>0</v>
      </c>
      <c r="P9">
        <f>VLOOKUP(G9,'GST + Invocie No'!$B$5:$Y$183,24,0)</f>
        <v/>
      </c>
    </row>
    <row r="10">
      <c r="A10" s="7" t="n">
        <v>45748</v>
      </c>
      <c r="B10" t="inlineStr">
        <is>
          <t>Route Mobile Limited</t>
        </is>
      </c>
      <c r="C10" t="inlineStr">
        <is>
          <t>27AACCR7740M1ZX</t>
        </is>
      </c>
      <c r="D10" t="inlineStr">
        <is>
          <t>Purchase</t>
        </is>
      </c>
      <c r="E10" t="inlineStr"/>
      <c r="F10" t="inlineStr">
        <is>
          <t>RM/04-25/PP0480</t>
        </is>
      </c>
      <c r="G10" t="inlineStr">
        <is>
          <t>AACCR7740M_RM/04-25/PP0480</t>
        </is>
      </c>
      <c r="H10" s="7" t="n">
        <v>45777</v>
      </c>
      <c r="I10" s="4" t="n">
        <v>3833253.14</v>
      </c>
      <c r="J10" s="4" t="n">
        <v>3248519.6</v>
      </c>
      <c r="K10" t="n">
        <v>18</v>
      </c>
      <c r="L10" s="4" t="n">
        <v>0</v>
      </c>
      <c r="M10" s="4" t="n">
        <v>292366.77</v>
      </c>
      <c r="N10" s="4" t="n">
        <v>292366.77</v>
      </c>
      <c r="O10" s="4" t="n">
        <v>0</v>
      </c>
      <c r="P10">
        <f>VLOOKUP(G10,'GST + Invocie No'!$B$5:$Y$183,24,0)</f>
        <v/>
      </c>
    </row>
    <row r="11">
      <c r="A11" s="7" t="n">
        <v>45778</v>
      </c>
      <c r="B11" t="inlineStr">
        <is>
          <t>Technowizards Private Limited</t>
        </is>
      </c>
      <c r="C11" t="inlineStr">
        <is>
          <t>27AAICT8273F1ZY</t>
        </is>
      </c>
      <c r="D11" t="inlineStr">
        <is>
          <t>Purchase</t>
        </is>
      </c>
      <c r="E11" t="inlineStr"/>
      <c r="F11" t="inlineStr">
        <is>
          <t>TW/25-26/1012</t>
        </is>
      </c>
      <c r="G11" t="inlineStr">
        <is>
          <t>AAICT8273F_TW/25-26/1012</t>
        </is>
      </c>
      <c r="H11" s="7" t="n">
        <v>45778</v>
      </c>
      <c r="I11" s="4" t="n">
        <v>1414.74</v>
      </c>
      <c r="J11" s="4" t="n">
        <v>1198.94</v>
      </c>
      <c r="K11" t="n">
        <v>18</v>
      </c>
      <c r="L11" s="4" t="n">
        <v>0</v>
      </c>
      <c r="M11" s="4" t="n">
        <v>107.9</v>
      </c>
      <c r="N11" s="4" t="n">
        <v>107.9</v>
      </c>
      <c r="O11" s="4" t="n">
        <v>0</v>
      </c>
      <c r="P11">
        <f>VLOOKUP(G11,'GST + Invocie No'!$B$5:$Y$183,24,0)</f>
        <v/>
      </c>
    </row>
    <row r="12">
      <c r="A12" s="7" t="n">
        <v>45778</v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Purchase</t>
        </is>
      </c>
      <c r="E12" t="inlineStr"/>
      <c r="F12" t="inlineStr">
        <is>
          <t>BMPL0046</t>
        </is>
      </c>
      <c r="G12" t="inlineStr">
        <is>
          <t>AALCB9501D_BMPL0046</t>
        </is>
      </c>
      <c r="H12" s="7" t="n">
        <v>45778</v>
      </c>
      <c r="I12" s="4" t="n">
        <v>3099838.9</v>
      </c>
      <c r="J12" s="4" t="n">
        <v>2626982.12</v>
      </c>
      <c r="K12" t="n">
        <v>18</v>
      </c>
      <c r="L12" s="4" t="n">
        <v>0</v>
      </c>
      <c r="M12" s="4" t="n">
        <v>236428.39</v>
      </c>
      <c r="N12" s="4" t="n">
        <v>236428.39</v>
      </c>
      <c r="O12" s="4" t="n">
        <v>0</v>
      </c>
      <c r="P12">
        <f>VLOOKUP(G12,'GST + Invocie No'!$B$5:$Y$183,24,0)</f>
        <v/>
      </c>
    </row>
    <row r="13">
      <c r="A13" s="7" t="n">
        <v>45778</v>
      </c>
      <c r="B13" t="inlineStr">
        <is>
          <t>Proactive Professional Services Pvt. Ltd.</t>
        </is>
      </c>
      <c r="C13" t="inlineStr">
        <is>
          <t>08AAECP9085D2Z5</t>
        </is>
      </c>
      <c r="D13" t="inlineStr">
        <is>
          <t>Purchase</t>
        </is>
      </c>
      <c r="E13" t="inlineStr"/>
      <c r="F13" t="inlineStr">
        <is>
          <t>PPSPL/25-26/0114</t>
        </is>
      </c>
      <c r="G13" t="inlineStr">
        <is>
          <t>AAECP9085D_PPSPL/25-26/0114</t>
        </is>
      </c>
      <c r="H13" s="7" t="n">
        <v>45783</v>
      </c>
      <c r="I13" s="4" t="n">
        <v>3429261.85</v>
      </c>
      <c r="J13" s="4" t="n">
        <v>2906154.11</v>
      </c>
      <c r="K13" t="n">
        <v>18</v>
      </c>
      <c r="L13" s="4" t="n">
        <v>523107.74</v>
      </c>
      <c r="M13" s="4" t="n">
        <v>0</v>
      </c>
      <c r="N13" s="4" t="n">
        <v>0</v>
      </c>
      <c r="O13" s="4" t="n">
        <v>0</v>
      </c>
      <c r="P13">
        <f>VLOOKUP(G13,'GST + Invocie No'!$B$5:$Y$183,24,0)</f>
        <v/>
      </c>
    </row>
    <row r="14">
      <c r="A14" s="7" t="n">
        <v>45778</v>
      </c>
      <c r="B14" t="inlineStr">
        <is>
          <t>Rootcause Technology Private Limited</t>
        </is>
      </c>
      <c r="C14" t="inlineStr">
        <is>
          <t>24AALCR1836M1Z1</t>
        </is>
      </c>
      <c r="D14" t="inlineStr">
        <is>
          <t>Purchase</t>
        </is>
      </c>
      <c r="E14" t="inlineStr"/>
      <c r="F14" t="inlineStr">
        <is>
          <t>INV-R000368</t>
        </is>
      </c>
      <c r="G14" t="inlineStr">
        <is>
          <t>AALCR1836M_INV-R000368</t>
        </is>
      </c>
      <c r="H14" s="7" t="n">
        <v>45789</v>
      </c>
      <c r="I14" s="4" t="n">
        <v>31352.6</v>
      </c>
      <c r="J14" s="4" t="n">
        <v>26570</v>
      </c>
      <c r="K14" t="n">
        <v>18</v>
      </c>
      <c r="L14" s="4" t="n">
        <v>4782.6</v>
      </c>
      <c r="M14" s="4" t="n">
        <v>0</v>
      </c>
      <c r="N14" s="4" t="n">
        <v>0</v>
      </c>
      <c r="O14" s="4" t="n">
        <v>0</v>
      </c>
      <c r="P14">
        <f>VLOOKUP(G14,'GST + Invocie No'!$B$5:$Y$183,24,0)</f>
        <v/>
      </c>
    </row>
    <row r="15">
      <c r="A15" s="7" t="n">
        <v>45778</v>
      </c>
      <c r="B15" t="inlineStr">
        <is>
          <t>Dove Soft  Ltd (P)</t>
        </is>
      </c>
      <c r="C15" t="inlineStr">
        <is>
          <t>27AADCD9460D1ZO</t>
        </is>
      </c>
      <c r="D15" t="inlineStr">
        <is>
          <t>Purchase</t>
        </is>
      </c>
      <c r="E15" t="inlineStr"/>
      <c r="F15" t="inlineStr">
        <is>
          <t>25-26/5/206</t>
        </is>
      </c>
      <c r="G15" t="inlineStr">
        <is>
          <t>AADCD9460D_25-26/5/206</t>
        </is>
      </c>
      <c r="H15" s="7" t="n">
        <v>45808</v>
      </c>
      <c r="I15" s="4" t="n">
        <v>11800</v>
      </c>
      <c r="J15" s="4" t="n">
        <v>10000</v>
      </c>
      <c r="K15" t="n">
        <v>18</v>
      </c>
      <c r="L15" s="4" t="n">
        <v>0</v>
      </c>
      <c r="M15" s="4" t="n">
        <v>900</v>
      </c>
      <c r="N15" s="4" t="n">
        <v>900</v>
      </c>
      <c r="O15" s="4" t="n">
        <v>0</v>
      </c>
      <c r="P15">
        <f>VLOOKUP(G15,'GST + Invocie No'!$B$5:$Y$183,24,0)</f>
        <v/>
      </c>
    </row>
    <row r="16">
      <c r="A16" s="7" t="n">
        <v>45778</v>
      </c>
      <c r="B16" t="inlineStr">
        <is>
          <t>SEVEN OCEANS TELESERVICES PRIVATE LIMITED</t>
        </is>
      </c>
      <c r="C16" t="inlineStr">
        <is>
          <t>27ABDCS7338G1Z4</t>
        </is>
      </c>
      <c r="D16" t="inlineStr">
        <is>
          <t>Purchase</t>
        </is>
      </c>
      <c r="E16" t="inlineStr"/>
      <c r="F16" t="inlineStr">
        <is>
          <t>STPL/25-26/034</t>
        </is>
      </c>
      <c r="G16" t="inlineStr">
        <is>
          <t>ABDCS7338G_STPL/25-26/034</t>
        </is>
      </c>
      <c r="H16" s="7" t="n">
        <v>45808</v>
      </c>
      <c r="I16" s="4" t="n">
        <v>176053.29</v>
      </c>
      <c r="J16" s="4" t="n">
        <v>149197.71</v>
      </c>
      <c r="K16" t="n">
        <v>18</v>
      </c>
      <c r="L16" s="4" t="n">
        <v>0</v>
      </c>
      <c r="M16" s="4" t="n">
        <v>13427.79</v>
      </c>
      <c r="N16" s="4" t="n">
        <v>13427.79</v>
      </c>
      <c r="O16" s="4" t="n">
        <v>0</v>
      </c>
      <c r="P16">
        <f>VLOOKUP(G16,'GST + Invocie No'!$B$5:$Y$183,24,0)</f>
        <v/>
      </c>
    </row>
    <row r="17">
      <c r="A17" s="7" t="n">
        <v>45778</v>
      </c>
      <c r="B17" t="inlineStr">
        <is>
          <t>TAGG TELESERVICES PRIVATE LIMITED</t>
        </is>
      </c>
      <c r="C17" t="inlineStr">
        <is>
          <t>07AAHCT4293N1ZO</t>
        </is>
      </c>
      <c r="D17" t="inlineStr">
        <is>
          <t>Purchase</t>
        </is>
      </c>
      <c r="E17" t="inlineStr"/>
      <c r="F17" t="inlineStr">
        <is>
          <t>TTSPL20250534</t>
        </is>
      </c>
      <c r="G17" t="inlineStr">
        <is>
          <t>AAHCT4293N_TTSPL20250534</t>
        </is>
      </c>
      <c r="H17" s="7" t="n">
        <v>45808</v>
      </c>
      <c r="I17" s="4" t="n">
        <v>29140.81</v>
      </c>
      <c r="J17" s="4" t="n">
        <v>24695.6</v>
      </c>
      <c r="K17" t="n">
        <v>18</v>
      </c>
      <c r="L17" s="4" t="n">
        <v>4445.21</v>
      </c>
      <c r="M17" s="4" t="n">
        <v>0</v>
      </c>
      <c r="N17" s="4" t="n">
        <v>0</v>
      </c>
      <c r="O17" s="4" t="n">
        <v>0</v>
      </c>
      <c r="P17">
        <f>VLOOKUP(G17,'GST + Invocie No'!$B$5:$Y$183,24,0)</f>
        <v/>
      </c>
    </row>
    <row r="18">
      <c r="A18" s="7" t="n">
        <v>45778</v>
      </c>
      <c r="B18" t="inlineStr">
        <is>
          <t>Route Mobile Limited</t>
        </is>
      </c>
      <c r="C18" t="inlineStr">
        <is>
          <t>27AACCR7740M1ZX</t>
        </is>
      </c>
      <c r="D18" t="inlineStr">
        <is>
          <t>Purchase</t>
        </is>
      </c>
      <c r="E18" t="inlineStr"/>
      <c r="F18" t="inlineStr">
        <is>
          <t>RM/05-25/PP0466</t>
        </is>
      </c>
      <c r="G18" t="inlineStr">
        <is>
          <t>AACCR7740M_RM/05-25/PP0466</t>
        </is>
      </c>
      <c r="H18" s="7" t="n">
        <v>45808</v>
      </c>
      <c r="I18" s="4" t="n">
        <v>2468428.39</v>
      </c>
      <c r="J18" s="4" t="n">
        <v>2091888.47</v>
      </c>
      <c r="K18" t="n">
        <v>18</v>
      </c>
      <c r="L18" s="4" t="n">
        <v>0</v>
      </c>
      <c r="M18" s="4" t="n">
        <v>188269.96</v>
      </c>
      <c r="N18" s="4" t="n">
        <v>188269.96</v>
      </c>
      <c r="O18" s="4" t="n">
        <v>0</v>
      </c>
      <c r="P18">
        <f>VLOOKUP(G18,'GST + Invocie No'!$B$5:$Y$183,24,0)</f>
        <v/>
      </c>
    </row>
    <row r="19">
      <c r="A19" s="7" t="n">
        <v>45809</v>
      </c>
      <c r="B19" t="inlineStr">
        <is>
          <t>Technowizards Private Limited</t>
        </is>
      </c>
      <c r="C19" t="inlineStr">
        <is>
          <t>27AAICT8273F1ZY</t>
        </is>
      </c>
      <c r="D19" t="inlineStr">
        <is>
          <t>Purchase</t>
        </is>
      </c>
      <c r="E19" t="inlineStr"/>
      <c r="F19" t="inlineStr">
        <is>
          <t>TW/2025-26/1027</t>
        </is>
      </c>
      <c r="G19" t="inlineStr">
        <is>
          <t>AAICT8273F_TW/2025-26/1027</t>
        </is>
      </c>
      <c r="H19" s="7" t="n">
        <v>45809</v>
      </c>
      <c r="I19" s="4" t="n">
        <v>2045.05</v>
      </c>
      <c r="J19" s="4" t="n">
        <v>1733.09</v>
      </c>
      <c r="K19" t="n">
        <v>18</v>
      </c>
      <c r="L19" s="4" t="n">
        <v>0</v>
      </c>
      <c r="M19" s="4" t="n">
        <v>155.98</v>
      </c>
      <c r="N19" s="4" t="n">
        <v>155.98</v>
      </c>
      <c r="O19" s="4" t="n">
        <v>0</v>
      </c>
      <c r="P19">
        <f>VLOOKUP(G19,'GST + Invocie No'!$B$5:$Y$183,24,0)</f>
        <v/>
      </c>
    </row>
    <row r="20">
      <c r="A20" s="7" t="n">
        <v>45809</v>
      </c>
      <c r="B20" t="inlineStr">
        <is>
          <t>BLUE MESSAGGIO PRIVATE LIMITED</t>
        </is>
      </c>
      <c r="C20" t="inlineStr">
        <is>
          <t>27AALCB9501D1ZS</t>
        </is>
      </c>
      <c r="D20" t="inlineStr">
        <is>
          <t>Purchase</t>
        </is>
      </c>
      <c r="E20" t="inlineStr"/>
      <c r="F20" t="inlineStr">
        <is>
          <t>BMPL0060</t>
        </is>
      </c>
      <c r="G20" t="inlineStr">
        <is>
          <t>AALCB9501D_BMPL0060</t>
        </is>
      </c>
      <c r="H20" s="7" t="n">
        <v>45813</v>
      </c>
      <c r="I20" s="4" t="n">
        <v>1236941.59</v>
      </c>
      <c r="J20" s="4" t="n">
        <v>1048255.59</v>
      </c>
      <c r="K20" t="n">
        <v>18</v>
      </c>
      <c r="L20" s="4" t="n">
        <v>0</v>
      </c>
      <c r="M20" s="4" t="n">
        <v>94343</v>
      </c>
      <c r="N20" s="4" t="n">
        <v>94343</v>
      </c>
      <c r="O20" s="4" t="n">
        <v>0</v>
      </c>
      <c r="P20">
        <f>VLOOKUP(G20,'GST + Invocie No'!$B$5:$Y$183,24,0)</f>
        <v/>
      </c>
    </row>
    <row r="21">
      <c r="A21" s="7" t="n">
        <v>45809</v>
      </c>
      <c r="B21" t="inlineStr">
        <is>
          <t>Proactive Professional Services Pvt. Ltd.</t>
        </is>
      </c>
      <c r="C21" t="inlineStr">
        <is>
          <t>08AAECP9085D2Z5</t>
        </is>
      </c>
      <c r="D21" t="inlineStr">
        <is>
          <t>Purchase</t>
        </is>
      </c>
      <c r="E21" t="inlineStr"/>
      <c r="F21" t="inlineStr">
        <is>
          <t>PPSPL/25-26/0212</t>
        </is>
      </c>
      <c r="G21" t="inlineStr">
        <is>
          <t>AAECP9085D_PPSPL/25-26/0212</t>
        </is>
      </c>
      <c r="H21" s="7" t="n">
        <v>45814</v>
      </c>
      <c r="I21" s="4" t="n">
        <v>93050.12</v>
      </c>
      <c r="J21" s="4" t="n">
        <v>78856.03</v>
      </c>
      <c r="K21" t="n">
        <v>18</v>
      </c>
      <c r="L21" s="4" t="n">
        <v>14194.09</v>
      </c>
      <c r="M21" s="4" t="n">
        <v>0</v>
      </c>
      <c r="N21" s="4" t="n">
        <v>0</v>
      </c>
      <c r="O21" s="4" t="n">
        <v>0</v>
      </c>
      <c r="P21">
        <f>VLOOKUP(G21,'GST + Invocie No'!$B$5:$Y$183,24,0)</f>
        <v/>
      </c>
    </row>
    <row r="22">
      <c r="A22" s="7" t="n">
        <v>45809</v>
      </c>
      <c r="B22" t="inlineStr">
        <is>
          <t>Rootcause Technology Private Limited</t>
        </is>
      </c>
      <c r="C22" t="inlineStr">
        <is>
          <t>24AALCR1836M1Z1</t>
        </is>
      </c>
      <c r="D22" t="inlineStr">
        <is>
          <t>Purchase</t>
        </is>
      </c>
      <c r="E22" t="inlineStr"/>
      <c r="F22" t="inlineStr">
        <is>
          <t>INV-R000370</t>
        </is>
      </c>
      <c r="G22" t="inlineStr">
        <is>
          <t>AALCR1836M_INV-R000370</t>
        </is>
      </c>
      <c r="H22" s="7" t="n">
        <v>45827</v>
      </c>
      <c r="I22" s="4" t="n">
        <v>19585.64</v>
      </c>
      <c r="J22" s="4" t="n">
        <v>16598</v>
      </c>
      <c r="K22" t="n">
        <v>18</v>
      </c>
      <c r="L22" s="4" t="n">
        <v>2987.64</v>
      </c>
      <c r="M22" s="4" t="n">
        <v>0</v>
      </c>
      <c r="N22" s="4" t="n">
        <v>0</v>
      </c>
      <c r="O22" s="4" t="n">
        <v>0</v>
      </c>
      <c r="P22">
        <f>VLOOKUP(G22,'GST + Invocie No'!$B$5:$Y$183,24,0)</f>
        <v/>
      </c>
    </row>
    <row r="23">
      <c r="A23" s="7" t="n">
        <v>45809</v>
      </c>
      <c r="B23" t="inlineStr">
        <is>
          <t>SARV WEBS PRIVATE LIMITED</t>
        </is>
      </c>
      <c r="C23" t="inlineStr">
        <is>
          <t>08AAPCS9984F1ZG</t>
        </is>
      </c>
      <c r="D23" t="inlineStr">
        <is>
          <t>Purchase</t>
        </is>
      </c>
      <c r="E23" t="inlineStr"/>
      <c r="F23" t="inlineStr">
        <is>
          <t>SWPLJUN25-26/100</t>
        </is>
      </c>
      <c r="G23" t="inlineStr">
        <is>
          <t>AAPCS9984F_SWPLJUN25-26/100</t>
        </is>
      </c>
      <c r="H23" s="7" t="n">
        <v>45838</v>
      </c>
      <c r="I23" s="4" t="n">
        <v>10113190</v>
      </c>
      <c r="J23" s="4" t="n">
        <v>8570500</v>
      </c>
      <c r="K23" t="n">
        <v>18</v>
      </c>
      <c r="L23" s="4" t="n">
        <v>1542690</v>
      </c>
      <c r="M23" s="4" t="n">
        <v>0</v>
      </c>
      <c r="N23" s="4" t="n">
        <v>0</v>
      </c>
      <c r="O23" s="4" t="n">
        <v>0</v>
      </c>
      <c r="P23">
        <f>VLOOKUP(G23,'GST + Invocie No'!$B$5:$Y$183,24,0)</f>
        <v/>
      </c>
    </row>
    <row r="24">
      <c r="A24" s="7" t="n">
        <v>45809</v>
      </c>
      <c r="B24" t="inlineStr">
        <is>
          <t>TAGG TELESERVICES PRIVATE LIMITED</t>
        </is>
      </c>
      <c r="C24" t="inlineStr">
        <is>
          <t>07AAHCT4293N1ZO</t>
        </is>
      </c>
      <c r="D24" t="inlineStr">
        <is>
          <t>Purchase</t>
        </is>
      </c>
      <c r="E24" t="inlineStr"/>
      <c r="F24" t="inlineStr">
        <is>
          <t>TTSPL20250627</t>
        </is>
      </c>
      <c r="G24" t="inlineStr">
        <is>
          <t>AAHCT4293N_TTSPL20250627</t>
        </is>
      </c>
      <c r="H24" s="7" t="n">
        <v>45838</v>
      </c>
      <c r="I24" s="4" t="n">
        <v>32570.35</v>
      </c>
      <c r="J24" s="4" t="n">
        <v>27601.99</v>
      </c>
      <c r="K24" t="n">
        <v>18</v>
      </c>
      <c r="L24" s="4" t="n">
        <v>4968.36</v>
      </c>
      <c r="M24" s="4" t="n">
        <v>0</v>
      </c>
      <c r="N24" s="4" t="n">
        <v>0</v>
      </c>
      <c r="O24" s="4" t="n">
        <v>0</v>
      </c>
      <c r="P24">
        <f>VLOOKUP(G24,'GST + Invocie No'!$B$5:$Y$183,24,0)</f>
        <v/>
      </c>
    </row>
    <row r="25">
      <c r="A25" s="7" t="n">
        <v>45809</v>
      </c>
      <c r="B25" t="inlineStr">
        <is>
          <t>Dove Soft  Ltd (P)</t>
        </is>
      </c>
      <c r="C25" t="inlineStr">
        <is>
          <t>27AADCD9460D1ZO</t>
        </is>
      </c>
      <c r="D25" t="inlineStr">
        <is>
          <t>Purchase</t>
        </is>
      </c>
      <c r="E25" t="inlineStr"/>
      <c r="F25" t="inlineStr">
        <is>
          <t>25-26/6/178</t>
        </is>
      </c>
      <c r="G25" t="inlineStr">
        <is>
          <t>AADCD9460D_25-26/6/178</t>
        </is>
      </c>
      <c r="H25" s="7" t="n">
        <v>45838</v>
      </c>
      <c r="I25" s="4" t="n">
        <v>11800</v>
      </c>
      <c r="J25" s="4" t="n">
        <v>10000</v>
      </c>
      <c r="K25" t="n">
        <v>18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s="7" t="n">
        <v>45839</v>
      </c>
      <c r="B26" t="inlineStr">
        <is>
          <t>Technowizards Private Limited</t>
        </is>
      </c>
      <c r="C26" t="inlineStr">
        <is>
          <t>27AAICT8273F1ZY</t>
        </is>
      </c>
      <c r="D26" t="inlineStr">
        <is>
          <t>Purchase</t>
        </is>
      </c>
      <c r="E26" t="inlineStr"/>
      <c r="F26" t="inlineStr">
        <is>
          <t>TW/2025-26/1045</t>
        </is>
      </c>
      <c r="G26" t="inlineStr">
        <is>
          <t>AAICT8273F_TW/2025-26/1045</t>
        </is>
      </c>
      <c r="H26" s="7" t="n">
        <v>45839</v>
      </c>
      <c r="I26" s="4" t="n">
        <v>2905.59</v>
      </c>
      <c r="J26" s="4" t="n">
        <v>2462.37</v>
      </c>
      <c r="K26" t="n">
        <v>18</v>
      </c>
      <c r="L26" s="4" t="n">
        <v>0</v>
      </c>
      <c r="M26" s="4" t="n">
        <v>221.61</v>
      </c>
      <c r="N26" s="4" t="n">
        <v>221.61</v>
      </c>
      <c r="O26" s="4" t="n">
        <v>0</v>
      </c>
      <c r="P26">
        <f>VLOOKUP(G26,'GST + Invocie No'!$B$5:$Y$183,24,0)</f>
        <v/>
      </c>
    </row>
    <row r="27">
      <c r="A27" s="7" t="n">
        <v>45839</v>
      </c>
      <c r="B27" t="inlineStr">
        <is>
          <t>BLUE MESSAGGIO PRIVATE LIMITED</t>
        </is>
      </c>
      <c r="C27" t="inlineStr">
        <is>
          <t>27AALCB9501D1ZS</t>
        </is>
      </c>
      <c r="D27" t="inlineStr">
        <is>
          <t>Purchase</t>
        </is>
      </c>
      <c r="E27" t="inlineStr"/>
      <c r="F27" t="inlineStr">
        <is>
          <t>BMPL0068</t>
        </is>
      </c>
      <c r="G27" t="inlineStr">
        <is>
          <t>AALCB9501D_BMPL0068</t>
        </is>
      </c>
      <c r="H27" s="7" t="n">
        <v>45843</v>
      </c>
      <c r="I27" s="4" t="n">
        <v>1750129.98</v>
      </c>
      <c r="J27" s="4" t="n">
        <v>1483161</v>
      </c>
      <c r="K27" t="n">
        <v>18</v>
      </c>
      <c r="L27" s="4" t="n">
        <v>0</v>
      </c>
      <c r="M27" s="4" t="n">
        <v>133484.49</v>
      </c>
      <c r="N27" s="4" t="n">
        <v>133484.49</v>
      </c>
      <c r="O27" s="4" t="n">
        <v>0</v>
      </c>
      <c r="P27">
        <f>VLOOKUP(G27,'GST + Invocie No'!$B$5:$Y$183,24,0)</f>
        <v/>
      </c>
    </row>
    <row r="28">
      <c r="A28" s="7" t="n">
        <v>45839</v>
      </c>
      <c r="B28" t="inlineStr">
        <is>
          <t>Proactive Professional Services Pvt. Ltd.</t>
        </is>
      </c>
      <c r="C28" t="inlineStr">
        <is>
          <t>08AAECP9085D2Z5</t>
        </is>
      </c>
      <c r="D28" t="inlineStr">
        <is>
          <t>Purchase</t>
        </is>
      </c>
      <c r="E28" t="inlineStr"/>
      <c r="F28" t="inlineStr">
        <is>
          <t>PPSPL/25-26/0357</t>
        </is>
      </c>
      <c r="G28" t="inlineStr">
        <is>
          <t>AAECP9085D_PPSPL/25-26/0357</t>
        </is>
      </c>
      <c r="H28" s="7" t="n">
        <v>45856</v>
      </c>
      <c r="I28" s="4" t="n">
        <v>447617.8</v>
      </c>
      <c r="J28" s="4" t="n">
        <v>379337.12</v>
      </c>
      <c r="K28" t="n">
        <v>18</v>
      </c>
      <c r="L28" s="4" t="n">
        <v>68280.67999999999</v>
      </c>
      <c r="M28" s="4" t="n">
        <v>0</v>
      </c>
      <c r="N28" s="4" t="n">
        <v>0</v>
      </c>
      <c r="O28" s="4" t="n">
        <v>0</v>
      </c>
      <c r="P28">
        <f>VLOOKUP(G28,'GST + Invocie No'!$B$5:$Y$183,24,0)</f>
        <v/>
      </c>
    </row>
    <row r="29">
      <c r="A29" s="7" t="n">
        <v>45839</v>
      </c>
      <c r="B29" t="inlineStr">
        <is>
          <t>TAGG TELESERVICES PRIVATE LIMITED</t>
        </is>
      </c>
      <c r="C29" t="inlineStr">
        <is>
          <t>07AAHCT4293N1ZO</t>
        </is>
      </c>
      <c r="D29" t="inlineStr">
        <is>
          <t>Purchase</t>
        </is>
      </c>
      <c r="E29" t="inlineStr"/>
      <c r="F29" t="inlineStr">
        <is>
          <t>TTSPL20250725</t>
        </is>
      </c>
      <c r="G29" t="inlineStr">
        <is>
          <t>AAHCT4293N_TTSPL20250725</t>
        </is>
      </c>
      <c r="H29" s="7" t="n">
        <v>45869</v>
      </c>
      <c r="I29" s="4" t="n">
        <v>32723.45</v>
      </c>
      <c r="J29" s="4" t="n">
        <v>27731.74</v>
      </c>
      <c r="K29" t="n">
        <v>18</v>
      </c>
      <c r="L29" s="4" t="n">
        <v>4991.71</v>
      </c>
      <c r="M29" s="4" t="n">
        <v>0</v>
      </c>
      <c r="N29" s="4" t="n">
        <v>0</v>
      </c>
      <c r="O29" s="4" t="n">
        <v>0</v>
      </c>
      <c r="P29">
        <f>VLOOKUP(G29,'GST + Invocie No'!$B$5:$Y$183,24,0)</f>
        <v/>
      </c>
    </row>
    <row r="30">
      <c r="A30" s="7" t="n">
        <v>45839</v>
      </c>
      <c r="B30" t="inlineStr">
        <is>
          <t>Dove Soft  Ltd (P)</t>
        </is>
      </c>
      <c r="C30" t="inlineStr">
        <is>
          <t>27AADCD9460D1ZO</t>
        </is>
      </c>
      <c r="D30" t="inlineStr">
        <is>
          <t>Purchase</t>
        </is>
      </c>
      <c r="E30" t="inlineStr"/>
      <c r="F30" t="inlineStr">
        <is>
          <t>25-26/7/227</t>
        </is>
      </c>
      <c r="G30" t="inlineStr">
        <is>
          <t>AADCD9460D_25-26/7/227</t>
        </is>
      </c>
      <c r="H30" s="7" t="n">
        <v>45869</v>
      </c>
      <c r="I30" s="4" t="n">
        <v>11800</v>
      </c>
      <c r="J30" s="4" t="n">
        <v>10000</v>
      </c>
      <c r="K30" t="n">
        <v>18</v>
      </c>
      <c r="L30" s="4" t="n">
        <v>0</v>
      </c>
      <c r="M30" s="4" t="n">
        <v>900</v>
      </c>
      <c r="N30" s="4" t="n">
        <v>900</v>
      </c>
      <c r="O30" s="4" t="n">
        <v>0</v>
      </c>
      <c r="P30">
        <f>VLOOKUP(G30,'GST + Invocie No'!$B$5:$Y$183,24,0)</f>
        <v/>
      </c>
    </row>
    <row r="31">
      <c r="A31" s="7" t="n">
        <v>45839</v>
      </c>
      <c r="B31" t="inlineStr">
        <is>
          <t>SEVEN OCEANS TELESERVICES PRIVATE LIMITED</t>
        </is>
      </c>
      <c r="C31" t="inlineStr">
        <is>
          <t>27ABDCS7338G1Z4</t>
        </is>
      </c>
      <c r="D31" t="inlineStr">
        <is>
          <t>Purchase</t>
        </is>
      </c>
      <c r="E31" t="inlineStr"/>
      <c r="F31" t="inlineStr">
        <is>
          <t>STPL/25-26/093</t>
        </is>
      </c>
      <c r="G31" t="inlineStr">
        <is>
          <t>ABDCS7338G_STPL/25-26/093</t>
        </is>
      </c>
      <c r="H31" s="7" t="n">
        <v>45869</v>
      </c>
      <c r="I31" s="4" t="n">
        <v>625685.8199999999</v>
      </c>
      <c r="J31" s="4" t="n">
        <v>530242.22</v>
      </c>
      <c r="K31" t="n">
        <v>18</v>
      </c>
      <c r="L31" s="4" t="n">
        <v>0</v>
      </c>
      <c r="M31" s="4" t="n">
        <v>47721.8</v>
      </c>
      <c r="N31" s="4" t="n">
        <v>47721.8</v>
      </c>
      <c r="O31" s="4" t="n">
        <v>0</v>
      </c>
      <c r="P31">
        <f>VLOOKUP(G31,'GST + Invocie No'!$B$5:$Y$183,24,0)</f>
        <v/>
      </c>
    </row>
    <row r="32">
      <c r="A32" s="7" t="n">
        <v>45870</v>
      </c>
      <c r="B32" t="inlineStr">
        <is>
          <t>BLUE MESSAGGIO PRIVATE LIMITED</t>
        </is>
      </c>
      <c r="C32" t="inlineStr">
        <is>
          <t>27AALCB9501D1ZS</t>
        </is>
      </c>
      <c r="D32" t="inlineStr">
        <is>
          <t>Purchase</t>
        </is>
      </c>
      <c r="E32" t="inlineStr"/>
      <c r="F32" t="inlineStr">
        <is>
          <t>BMPL0077</t>
        </is>
      </c>
      <c r="G32" t="inlineStr">
        <is>
          <t>AALCB9501D_BMPL0077</t>
        </is>
      </c>
      <c r="H32" s="7" t="n">
        <v>45870</v>
      </c>
      <c r="I32" s="4" t="n">
        <v>489524.54</v>
      </c>
      <c r="J32" s="4" t="n">
        <v>414851.3</v>
      </c>
      <c r="K32" t="n">
        <v>18</v>
      </c>
      <c r="L32" s="4" t="n">
        <v>0</v>
      </c>
      <c r="M32" s="4" t="n">
        <v>37336.62</v>
      </c>
      <c r="N32" s="4" t="n">
        <v>37336.62</v>
      </c>
      <c r="O32" s="4" t="n">
        <v>0</v>
      </c>
      <c r="P32">
        <f>VLOOKUP(G32,'GST + Invocie No'!$B$5:$Y$183,24,0)</f>
        <v/>
      </c>
    </row>
    <row r="33">
      <c r="A33" s="7" t="n">
        <v>45870</v>
      </c>
      <c r="B33" t="inlineStr">
        <is>
          <t>Route Mobile Limited</t>
        </is>
      </c>
      <c r="C33" t="inlineStr">
        <is>
          <t>27AACCR7740M1ZX</t>
        </is>
      </c>
      <c r="D33" t="inlineStr">
        <is>
          <t>Purchase</t>
        </is>
      </c>
      <c r="E33" t="inlineStr"/>
      <c r="F33" t="inlineStr">
        <is>
          <t>RM/07-25/PP0540</t>
        </is>
      </c>
      <c r="G33" t="inlineStr">
        <is>
          <t>AACCR7740M_RM/07-25/PP0540</t>
        </is>
      </c>
      <c r="H33" s="7" t="n">
        <v>45869</v>
      </c>
      <c r="I33" s="4" t="n">
        <v>417.59</v>
      </c>
      <c r="J33" s="4" t="n">
        <v>353.89</v>
      </c>
      <c r="K33" t="n">
        <v>18</v>
      </c>
      <c r="L33" s="4" t="n">
        <v>0</v>
      </c>
      <c r="M33" s="4" t="n">
        <v>31.85</v>
      </c>
      <c r="N33" s="4" t="n">
        <v>31.85</v>
      </c>
      <c r="O33" s="4" t="n">
        <v>0</v>
      </c>
      <c r="P33">
        <f>VLOOKUP(G33,'GST + Invocie No'!$B$5:$Y$183,24,0)</f>
        <v/>
      </c>
    </row>
    <row r="34">
      <c r="A34" s="7" t="n">
        <v>45870</v>
      </c>
      <c r="B34" t="inlineStr">
        <is>
          <t>SARV WEBS PRIVATE LIMITED</t>
        </is>
      </c>
      <c r="C34" t="inlineStr">
        <is>
          <t>08AAPCS9984F1ZG</t>
        </is>
      </c>
      <c r="D34" t="inlineStr">
        <is>
          <t>Purchase</t>
        </is>
      </c>
      <c r="E34" t="inlineStr"/>
      <c r="F34" t="inlineStr">
        <is>
          <t>SWPLJUL25-26/141</t>
        </is>
      </c>
      <c r="G34" t="inlineStr">
        <is>
          <t>AAPCS9984F_SWPLJUL25-26/141</t>
        </is>
      </c>
      <c r="H34" s="7" t="n">
        <v>45869</v>
      </c>
      <c r="I34" s="4" t="n">
        <v>19470590</v>
      </c>
      <c r="J34" s="4" t="n">
        <v>16500500</v>
      </c>
      <c r="K34" t="n">
        <v>18</v>
      </c>
      <c r="L34" s="4" t="n">
        <v>2970090</v>
      </c>
      <c r="M34" s="4" t="n">
        <v>0</v>
      </c>
      <c r="N34" s="4" t="n">
        <v>0</v>
      </c>
      <c r="O34" s="4" t="n">
        <v>0</v>
      </c>
      <c r="P34">
        <f>VLOOKUP(G34,'GST + Invocie No'!$B$5:$Y$183,24,0)</f>
        <v/>
      </c>
    </row>
    <row r="35">
      <c r="A35" s="7" t="n">
        <v>45870</v>
      </c>
      <c r="B35" t="inlineStr">
        <is>
          <t>AVRIO MOBILITY PRIVATE LIMITED</t>
        </is>
      </c>
      <c r="C35" t="inlineStr">
        <is>
          <t>27AASCA5981H1Z2</t>
        </is>
      </c>
      <c r="D35" t="inlineStr">
        <is>
          <t>Purchase</t>
        </is>
      </c>
      <c r="E35" t="inlineStr"/>
      <c r="F35" t="inlineStr">
        <is>
          <t>AV1001/25-26/01</t>
        </is>
      </c>
      <c r="G35" t="inlineStr">
        <is>
          <t>AASCA5981H_AV1001/25-26/01</t>
        </is>
      </c>
      <c r="H35" s="7" t="n">
        <v>45870</v>
      </c>
      <c r="I35" s="4" t="n">
        <v>3984251.23</v>
      </c>
      <c r="J35" s="4" t="n">
        <v>3376484.09</v>
      </c>
      <c r="K35" t="n">
        <v>18</v>
      </c>
      <c r="L35" s="4" t="n">
        <v>0</v>
      </c>
      <c r="M35" s="4" t="n">
        <v>303883.57</v>
      </c>
      <c r="N35" s="4" t="n">
        <v>303883.57</v>
      </c>
      <c r="O35" s="4" t="n">
        <v>0</v>
      </c>
      <c r="P35">
        <f>VLOOKUP(G35,'GST + Invocie No'!$B$5:$Y$183,24,0)</f>
        <v/>
      </c>
    </row>
    <row r="36">
      <c r="A36" s="7" t="n">
        <v>45870</v>
      </c>
      <c r="B36" t="inlineStr">
        <is>
          <t>Proactive Professional Services Pvt. Ltd.</t>
        </is>
      </c>
      <c r="C36" t="inlineStr">
        <is>
          <t>08AAECP9085D2Z5</t>
        </is>
      </c>
      <c r="D36" t="inlineStr">
        <is>
          <t>Purchase</t>
        </is>
      </c>
      <c r="E36" t="inlineStr"/>
      <c r="F36" t="inlineStr">
        <is>
          <t>PPSPL/25-26/0415</t>
        </is>
      </c>
      <c r="G36" t="inlineStr">
        <is>
          <t>AAECP9085D_PPSPL/25-26/0415</t>
        </is>
      </c>
      <c r="H36" s="7" t="n">
        <v>45876</v>
      </c>
      <c r="I36" s="4" t="n">
        <v>28050.68</v>
      </c>
      <c r="J36" s="4" t="n">
        <v>23771.76</v>
      </c>
      <c r="K36" t="n">
        <v>18</v>
      </c>
      <c r="L36" s="4" t="n">
        <v>4278.92</v>
      </c>
      <c r="M36" s="4" t="n">
        <v>0</v>
      </c>
      <c r="N36" s="4" t="n">
        <v>0</v>
      </c>
      <c r="O36" s="4" t="n">
        <v>0</v>
      </c>
      <c r="P36">
        <f>VLOOKUP(G36,'GST + Invocie No'!$B$5:$Y$183,24,0)</f>
        <v/>
      </c>
    </row>
    <row r="37">
      <c r="A37" s="7" t="n">
        <v>45870</v>
      </c>
      <c r="B37" t="inlineStr">
        <is>
          <t>Mobeep Communications Private Limited</t>
        </is>
      </c>
      <c r="C37" t="inlineStr">
        <is>
          <t>23AAQCM8669N1ZG</t>
        </is>
      </c>
      <c r="D37" t="inlineStr">
        <is>
          <t>Purchase</t>
        </is>
      </c>
      <c r="E37" t="inlineStr"/>
      <c r="F37" t="inlineStr">
        <is>
          <t>MCPL/25-26/20</t>
        </is>
      </c>
      <c r="G37" t="inlineStr">
        <is>
          <t>AAQCM8669N_MCPL/25-26/20</t>
        </is>
      </c>
      <c r="H37" s="7" t="n">
        <v>45895</v>
      </c>
      <c r="I37" s="4" t="n">
        <v>1809288.1</v>
      </c>
      <c r="J37" s="4" t="n">
        <v>1533295</v>
      </c>
      <c r="K37" t="n">
        <v>18</v>
      </c>
      <c r="L37" s="4" t="n">
        <v>275993.1</v>
      </c>
      <c r="M37" s="4" t="n">
        <v>0</v>
      </c>
      <c r="N37" s="4" t="n">
        <v>0</v>
      </c>
      <c r="O37" s="4" t="n">
        <v>0</v>
      </c>
      <c r="P37">
        <f>VLOOKUP(G37,'GST + Invocie No'!$B$5:$Y$183,24,0)</f>
        <v/>
      </c>
    </row>
    <row r="38">
      <c r="A38" s="7" t="n">
        <v>45870</v>
      </c>
      <c r="B38" t="inlineStr">
        <is>
          <t>SEVEN OCEANS TELESERVICES PRIVATE LIMITED</t>
        </is>
      </c>
      <c r="C38" t="inlineStr">
        <is>
          <t>27ABDCS7338G1Z4</t>
        </is>
      </c>
      <c r="D38" t="inlineStr">
        <is>
          <t>Purchase</t>
        </is>
      </c>
      <c r="E38" t="inlineStr"/>
      <c r="F38" t="inlineStr">
        <is>
          <t>STPL/25-26/126</t>
        </is>
      </c>
      <c r="G38" t="inlineStr">
        <is>
          <t>ABDCS7338G_STPL/25-26/126</t>
        </is>
      </c>
      <c r="H38" s="7" t="n">
        <v>45900</v>
      </c>
      <c r="I38" s="4" t="n">
        <v>435324.25</v>
      </c>
      <c r="J38" s="4" t="n">
        <v>368918.85</v>
      </c>
      <c r="K38" t="n">
        <v>18</v>
      </c>
      <c r="L38" s="4" t="n">
        <v>0</v>
      </c>
      <c r="M38" s="4" t="n">
        <v>33202.7</v>
      </c>
      <c r="N38" s="4" t="n">
        <v>33202.7</v>
      </c>
      <c r="O38" s="4" t="n">
        <v>0</v>
      </c>
      <c r="P38">
        <f>VLOOKUP(G38,'GST + Invocie No'!$B$5:$Y$183,24,0)</f>
        <v/>
      </c>
    </row>
    <row r="39">
      <c r="A39" s="7" t="n">
        <v>45870</v>
      </c>
      <c r="B39" t="inlineStr">
        <is>
          <t>TAGG TELESERVICES PRIVATE LIMITED</t>
        </is>
      </c>
      <c r="C39" t="inlineStr">
        <is>
          <t>07AAHCT4293N1ZO</t>
        </is>
      </c>
      <c r="D39" t="inlineStr">
        <is>
          <t>Purchase</t>
        </is>
      </c>
      <c r="E39" t="inlineStr"/>
      <c r="F39" t="inlineStr">
        <is>
          <t>TTSPL20250822</t>
        </is>
      </c>
      <c r="G39" t="inlineStr">
        <is>
          <t>AAHCT4293N_TTSPL20250822</t>
        </is>
      </c>
      <c r="H39" s="7" t="n">
        <v>45900</v>
      </c>
      <c r="I39" s="4" t="n">
        <v>28241.95</v>
      </c>
      <c r="J39" s="4" t="n">
        <v>23933.86</v>
      </c>
      <c r="K39" t="n">
        <v>18</v>
      </c>
      <c r="L39" s="4" t="n">
        <v>4308.09</v>
      </c>
      <c r="M39" s="4" t="n">
        <v>0</v>
      </c>
      <c r="N39" s="4" t="n">
        <v>0</v>
      </c>
      <c r="O39" s="4" t="n">
        <v>0</v>
      </c>
      <c r="P39">
        <f>VLOOKUP(G39,'GST + Invocie No'!$B$5:$Y$183,24,0)</f>
        <v/>
      </c>
    </row>
    <row r="40">
      <c r="A40" s="7" t="n">
        <v>45870</v>
      </c>
      <c r="B40" t="inlineStr">
        <is>
          <t>Dove Soft  Ltd (P)</t>
        </is>
      </c>
      <c r="C40" t="inlineStr">
        <is>
          <t>27AADCD9460D1ZO</t>
        </is>
      </c>
      <c r="D40" t="inlineStr">
        <is>
          <t>Purchase</t>
        </is>
      </c>
      <c r="E40" t="inlineStr"/>
      <c r="F40" t="inlineStr">
        <is>
          <t>25-26/8/247</t>
        </is>
      </c>
      <c r="G40" t="inlineStr">
        <is>
          <t>AADCD9460D_25-26/8/247</t>
        </is>
      </c>
      <c r="H40" s="7" t="n">
        <v>45900</v>
      </c>
      <c r="I40" s="4" t="n">
        <v>11800</v>
      </c>
      <c r="J40" s="4" t="n">
        <v>10000</v>
      </c>
      <c r="K40" t="n">
        <v>18</v>
      </c>
      <c r="L40" s="4" t="n">
        <v>0</v>
      </c>
      <c r="M40" s="4" t="n">
        <v>900</v>
      </c>
      <c r="N40" s="4" t="n">
        <v>900</v>
      </c>
      <c r="O40" s="4" t="n">
        <v>0</v>
      </c>
      <c r="P40">
        <f>VLOOKUP(G40,'GST + Invocie No'!$B$5:$Y$183,24,0)</f>
        <v/>
      </c>
    </row>
    <row r="41">
      <c r="A41" s="7" t="n">
        <v>45901</v>
      </c>
      <c r="B41" t="inlineStr">
        <is>
          <t>Route Mobile Limited</t>
        </is>
      </c>
      <c r="C41" t="inlineStr">
        <is>
          <t>27AACCR7740M1ZX</t>
        </is>
      </c>
      <c r="D41" t="inlineStr">
        <is>
          <t>Purchase</t>
        </is>
      </c>
      <c r="E41" t="inlineStr"/>
      <c r="F41" t="inlineStr">
        <is>
          <t>RM/08-25/PP0517</t>
        </is>
      </c>
      <c r="G41" t="inlineStr">
        <is>
          <t>AACCR7740M_RM/08-25/PP0517</t>
        </is>
      </c>
      <c r="H41" s="7" t="n">
        <v>45900</v>
      </c>
      <c r="I41" s="4" t="n">
        <v>519.89</v>
      </c>
      <c r="J41" s="4" t="n">
        <v>440.59</v>
      </c>
      <c r="K41" t="n">
        <v>18</v>
      </c>
      <c r="L41" s="4" t="n">
        <v>0</v>
      </c>
      <c r="M41" s="4" t="n">
        <v>39.65</v>
      </c>
      <c r="N41" s="4" t="n">
        <v>39.65</v>
      </c>
      <c r="O41" s="4" t="n">
        <v>0</v>
      </c>
      <c r="P41">
        <f>VLOOKUP(G41,'GST + Invocie No'!$B$5:$Y$183,24,0)</f>
        <v/>
      </c>
    </row>
    <row r="42">
      <c r="A42" s="7" t="n">
        <v>45901</v>
      </c>
      <c r="B42" t="inlineStr">
        <is>
          <t>Mobeep Communications Private Limited</t>
        </is>
      </c>
      <c r="C42" t="inlineStr">
        <is>
          <t>23AAQCM8669N1ZG</t>
        </is>
      </c>
      <c r="D42" t="inlineStr">
        <is>
          <t>Purchase</t>
        </is>
      </c>
      <c r="E42" t="inlineStr"/>
      <c r="F42" t="inlineStr">
        <is>
          <t>MCPL/25-26/24</t>
        </is>
      </c>
      <c r="G42" t="inlineStr">
        <is>
          <t>AAQCM8669N_MCPL/25-26/24</t>
        </is>
      </c>
      <c r="H42" s="7" t="n">
        <v>45901</v>
      </c>
      <c r="I42" s="4" t="n">
        <v>612930.16</v>
      </c>
      <c r="J42" s="4" t="n">
        <v>519432.16</v>
      </c>
      <c r="K42" t="n">
        <v>18</v>
      </c>
      <c r="L42" s="4" t="n">
        <v>93498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s="7" t="n">
        <v>45901</v>
      </c>
      <c r="B43" t="inlineStr">
        <is>
          <t>Technowizards Private Limited</t>
        </is>
      </c>
      <c r="C43" t="inlineStr">
        <is>
          <t>27AAICT8273F1ZY</t>
        </is>
      </c>
      <c r="D43" t="inlineStr">
        <is>
          <t>Purchase</t>
        </is>
      </c>
      <c r="E43" t="inlineStr"/>
      <c r="F43" t="inlineStr">
        <is>
          <t>TW/2025-26/1076</t>
        </is>
      </c>
      <c r="G43" t="inlineStr">
        <is>
          <t>AAICT8273F_TW/2025-26/1076</t>
        </is>
      </c>
      <c r="H43" s="7" t="n">
        <v>45901</v>
      </c>
      <c r="I43" s="4" t="n">
        <v>28.58</v>
      </c>
      <c r="J43" s="4" t="n">
        <v>24.22</v>
      </c>
      <c r="K43" t="n">
        <v>18</v>
      </c>
      <c r="L43" s="4" t="n">
        <v>0</v>
      </c>
      <c r="M43" s="4" t="n">
        <v>2.18</v>
      </c>
      <c r="N43" s="4" t="n">
        <v>2.18</v>
      </c>
      <c r="O43" s="4" t="n">
        <v>0</v>
      </c>
      <c r="P43">
        <f>VLOOKUP(G43,'GST + Invocie No'!$B$5:$Y$183,24,0)</f>
        <v/>
      </c>
    </row>
    <row r="44">
      <c r="A44" s="7" t="n">
        <v>45901</v>
      </c>
      <c r="B44" t="inlineStr">
        <is>
          <t>BLUE MESSAGGIO PRIVATE LIMITED</t>
        </is>
      </c>
      <c r="C44" t="inlineStr">
        <is>
          <t>27AALCB9501D1ZS</t>
        </is>
      </c>
      <c r="D44" t="inlineStr">
        <is>
          <t>Purchase</t>
        </is>
      </c>
      <c r="E44" t="inlineStr"/>
      <c r="F44" t="inlineStr">
        <is>
          <t>BMPL0090</t>
        </is>
      </c>
      <c r="G44" t="inlineStr">
        <is>
          <t>AALCB9501D_BMPL0090</t>
        </is>
      </c>
      <c r="H44" s="7" t="n">
        <v>45906</v>
      </c>
      <c r="I44" s="4" t="n">
        <v>64873.95</v>
      </c>
      <c r="J44" s="4" t="n">
        <v>54977.93</v>
      </c>
      <c r="K44" t="n">
        <v>18</v>
      </c>
      <c r="L44" s="4" t="n">
        <v>0</v>
      </c>
      <c r="M44" s="4" t="n">
        <v>4948.01</v>
      </c>
      <c r="N44" s="4" t="n">
        <v>4948.01</v>
      </c>
      <c r="O44" s="4" t="n">
        <v>0</v>
      </c>
      <c r="P44">
        <f>VLOOKUP(G44,'GST + Invocie No'!$B$5:$Y$183,24,0)</f>
        <v/>
      </c>
    </row>
    <row r="45">
      <c r="A45" s="7" t="n">
        <v>45901</v>
      </c>
      <c r="B45" t="inlineStr">
        <is>
          <t>TAGG TELESERVICES PRIVATE LIMITED</t>
        </is>
      </c>
      <c r="C45" t="inlineStr">
        <is>
          <t>07AAHCT4293N1ZO</t>
        </is>
      </c>
      <c r="D45" t="inlineStr">
        <is>
          <t>Purchase</t>
        </is>
      </c>
      <c r="E45" t="inlineStr"/>
      <c r="F45" t="inlineStr">
        <is>
          <t>TTSPL20250930</t>
        </is>
      </c>
      <c r="G45" t="inlineStr">
        <is>
          <t>AAHCT4293N_TTSPL20250930</t>
        </is>
      </c>
      <c r="H45" s="7" t="n">
        <v>45930</v>
      </c>
      <c r="I45" s="4" t="n">
        <v>26325.55</v>
      </c>
      <c r="J45" s="4" t="n">
        <v>22309.79</v>
      </c>
      <c r="K45" t="n">
        <v>18</v>
      </c>
      <c r="L45" s="4" t="n">
        <v>4015.76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s="7" t="n">
        <v>45901</v>
      </c>
      <c r="B46" t="inlineStr">
        <is>
          <t>Route Mobile Limited</t>
        </is>
      </c>
      <c r="C46" t="inlineStr">
        <is>
          <t>27AACCR7740M1ZX</t>
        </is>
      </c>
      <c r="D46" t="inlineStr">
        <is>
          <t>Purchase</t>
        </is>
      </c>
      <c r="E46" t="inlineStr"/>
      <c r="F46" t="inlineStr">
        <is>
          <t>RM/09-25/PP0595</t>
        </is>
      </c>
      <c r="G46" t="inlineStr">
        <is>
          <t>AACCR7740M_RM/09-25/PP0595</t>
        </is>
      </c>
      <c r="H46" s="7" t="n">
        <v>45930</v>
      </c>
      <c r="I46" s="4" t="n">
        <v>640.78</v>
      </c>
      <c r="J46" s="4" t="n">
        <v>543.04</v>
      </c>
      <c r="K46" t="n">
        <v>18</v>
      </c>
      <c r="L46" s="4" t="n">
        <v>0</v>
      </c>
      <c r="M46" s="4" t="n">
        <v>48.87</v>
      </c>
      <c r="N46" s="4" t="n">
        <v>48.87</v>
      </c>
      <c r="O46" s="4" t="n">
        <v>0</v>
      </c>
      <c r="P46">
        <f>VLOOKUP(G46,'GST + Invocie No'!$B$5:$Y$183,24,0)</f>
        <v/>
      </c>
    </row>
    <row r="47">
      <c r="A47" s="7" t="n">
        <v>45901</v>
      </c>
      <c r="B47" t="inlineStr">
        <is>
          <t>Dove Soft  Ltd (P)</t>
        </is>
      </c>
      <c r="C47" t="inlineStr">
        <is>
          <t>27AADCD9460D1ZO</t>
        </is>
      </c>
      <c r="D47" t="inlineStr">
        <is>
          <t>Purchase</t>
        </is>
      </c>
      <c r="E47" t="inlineStr"/>
      <c r="F47" t="inlineStr">
        <is>
          <t>25-26/9/258</t>
        </is>
      </c>
      <c r="G47" t="inlineStr">
        <is>
          <t>AADCD9460D_25-26/9/258</t>
        </is>
      </c>
      <c r="H47" s="7" t="n">
        <v>45930</v>
      </c>
      <c r="I47" s="4" t="n">
        <v>11800</v>
      </c>
      <c r="J47" s="4" t="n">
        <v>10000</v>
      </c>
      <c r="K47" t="n">
        <v>18</v>
      </c>
      <c r="L47" s="4" t="n">
        <v>0</v>
      </c>
      <c r="M47" s="4" t="n">
        <v>900</v>
      </c>
      <c r="N47" s="4" t="n">
        <v>900</v>
      </c>
      <c r="O47" s="4" t="n">
        <v>0</v>
      </c>
      <c r="P47">
        <f>VLOOKUP(G47,'GST + Invocie No'!$B$5:$Y$183,24,0)</f>
        <v/>
      </c>
    </row>
    <row r="48">
      <c r="A48" s="7" t="n">
        <v>45901</v>
      </c>
      <c r="B48" t="inlineStr">
        <is>
          <t>SEVEN OCEANS TELESERVICES PRIVATE LIMITED</t>
        </is>
      </c>
      <c r="C48" t="inlineStr">
        <is>
          <t>27ABDCS7338G1Z4</t>
        </is>
      </c>
      <c r="D48" t="inlineStr">
        <is>
          <t>Purchase</t>
        </is>
      </c>
      <c r="E48" t="inlineStr"/>
      <c r="F48" t="inlineStr">
        <is>
          <t>STPL/25-26/153</t>
        </is>
      </c>
      <c r="G48" t="inlineStr">
        <is>
          <t>ABDCS7338G_STPL/25-26/153</t>
        </is>
      </c>
      <c r="H48" s="7" t="n">
        <v>45930</v>
      </c>
      <c r="I48" s="4" t="n">
        <v>527019.03</v>
      </c>
      <c r="J48" s="4" t="n">
        <v>446626.29</v>
      </c>
      <c r="K48" t="n">
        <v>18</v>
      </c>
      <c r="L48" s="4" t="n">
        <v>0</v>
      </c>
      <c r="M48" s="4" t="n">
        <v>40196.37</v>
      </c>
      <c r="N48" s="4" t="n">
        <v>40196.37</v>
      </c>
      <c r="O48" s="4" t="n">
        <v>0</v>
      </c>
      <c r="P48">
        <f>VLOOKUP(G48,'GST + Invocie No'!$B$5:$Y$183,24,0)</f>
        <v/>
      </c>
    </row>
    <row r="49">
      <c r="A49" s="7" t="n">
        <v>45931</v>
      </c>
      <c r="B49" t="inlineStr">
        <is>
          <t>Technowizards Private Limited</t>
        </is>
      </c>
      <c r="C49" t="inlineStr">
        <is>
          <t>27AAICT8273F1ZY</t>
        </is>
      </c>
      <c r="D49" t="inlineStr">
        <is>
          <t>Purchase</t>
        </is>
      </c>
      <c r="E49" t="inlineStr"/>
      <c r="F49" t="inlineStr">
        <is>
          <t>TW/2025-26/1086</t>
        </is>
      </c>
      <c r="G49" t="inlineStr">
        <is>
          <t>AAICT8273F_TW/2025-26/1086</t>
        </is>
      </c>
      <c r="H49" s="7" t="n">
        <v>45931</v>
      </c>
      <c r="I49" s="4" t="n">
        <v>60.42</v>
      </c>
      <c r="J49" s="4" t="n">
        <v>51.2</v>
      </c>
      <c r="K49" t="n">
        <v>18</v>
      </c>
      <c r="L49" s="4" t="n">
        <v>0</v>
      </c>
      <c r="M49" s="4" t="n">
        <v>4.61</v>
      </c>
      <c r="N49" s="4" t="n">
        <v>4.61</v>
      </c>
      <c r="O49" s="4" t="n">
        <v>0</v>
      </c>
      <c r="P49">
        <f>VLOOKUP(G49,'GST + Invocie No'!$B$5:$Y$183,24,0)</f>
        <v/>
      </c>
    </row>
    <row r="50">
      <c r="A50" s="7" t="n">
        <v>45931</v>
      </c>
      <c r="B50" t="inlineStr">
        <is>
          <t>BLUE MESSAGGIO PRIVATE LIMITED</t>
        </is>
      </c>
      <c r="C50" t="inlineStr">
        <is>
          <t>27AALCB9501D1ZS</t>
        </is>
      </c>
      <c r="D50" t="inlineStr">
        <is>
          <t>Purchase</t>
        </is>
      </c>
      <c r="E50" t="inlineStr"/>
      <c r="F50" t="inlineStr">
        <is>
          <t>BMPL0099</t>
        </is>
      </c>
      <c r="G50" t="inlineStr">
        <is>
          <t>AALCB9501D_BMPL0099</t>
        </is>
      </c>
      <c r="H50" s="7" t="n">
        <v>45932</v>
      </c>
      <c r="I50" s="4" t="n">
        <v>1854395.13</v>
      </c>
      <c r="J50" s="4" t="n">
        <v>1571521.29</v>
      </c>
      <c r="K50" t="n">
        <v>18</v>
      </c>
      <c r="L50" s="4" t="n">
        <v>0</v>
      </c>
      <c r="M50" s="4" t="n">
        <v>141436.92</v>
      </c>
      <c r="N50" s="4" t="n">
        <v>141436.92</v>
      </c>
      <c r="O50" s="4" t="n">
        <v>0</v>
      </c>
      <c r="P50">
        <f>VLOOKUP(G50,'GST + Invocie No'!$B$5:$Y$183,24,0)</f>
        <v/>
      </c>
    </row>
    <row r="51">
      <c r="A51" s="7" t="n">
        <v>45931</v>
      </c>
      <c r="B51" t="inlineStr">
        <is>
          <t>Dove Soft  Ltd (P)</t>
        </is>
      </c>
      <c r="C51" t="inlineStr">
        <is>
          <t>27AADCD9460D1ZO</t>
        </is>
      </c>
      <c r="D51" t="inlineStr">
        <is>
          <t>Purchase</t>
        </is>
      </c>
      <c r="E51" t="inlineStr"/>
      <c r="F51" t="inlineStr">
        <is>
          <t>25-26/10/217</t>
        </is>
      </c>
      <c r="G51" t="inlineStr">
        <is>
          <t>AADCD9460D_25-26/10/217</t>
        </is>
      </c>
      <c r="H51" s="7" t="n">
        <v>45961</v>
      </c>
      <c r="I51" s="4" t="n">
        <v>11800</v>
      </c>
      <c r="J51" s="4" t="n">
        <v>10000</v>
      </c>
      <c r="K51" t="n">
        <v>18</v>
      </c>
      <c r="L51" s="4" t="n">
        <v>0</v>
      </c>
      <c r="M51" s="4" t="n">
        <v>900</v>
      </c>
      <c r="N51" s="4" t="n">
        <v>900</v>
      </c>
      <c r="O51" s="4" t="n">
        <v>0</v>
      </c>
      <c r="P51">
        <f>VLOOKUP(G51,'GST + Invocie No'!$B$5:$Y$183,24,0)</f>
        <v/>
      </c>
    </row>
    <row r="52">
      <c r="A52" s="7" t="n">
        <v>45931</v>
      </c>
      <c r="B52" t="inlineStr">
        <is>
          <t>TAGG TELESERVICES PRIVATE LIMITED</t>
        </is>
      </c>
      <c r="C52" t="inlineStr">
        <is>
          <t>07AAHCT4293N1ZO</t>
        </is>
      </c>
      <c r="D52" t="inlineStr">
        <is>
          <t>Purchase</t>
        </is>
      </c>
      <c r="E52" t="inlineStr"/>
      <c r="F52" t="inlineStr">
        <is>
          <t>TTSPL20251023</t>
        </is>
      </c>
      <c r="G52" t="inlineStr">
        <is>
          <t>AAHCT4293N_TTSPL20251023</t>
        </is>
      </c>
      <c r="H52" s="7" t="n">
        <v>45961</v>
      </c>
      <c r="I52" s="4" t="n">
        <v>25084.91</v>
      </c>
      <c r="J52" s="4" t="n">
        <v>21258.4</v>
      </c>
      <c r="K52" t="n">
        <v>18</v>
      </c>
      <c r="L52" s="4" t="n">
        <v>3826.51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s="7" t="n">
        <v>45931</v>
      </c>
      <c r="B53" t="inlineStr">
        <is>
          <t>SEVEN OCEANS TELESERVICES PRIVATE LIMITED</t>
        </is>
      </c>
      <c r="C53" t="inlineStr">
        <is>
          <t>27ABDCS7338G1Z4</t>
        </is>
      </c>
      <c r="D53" t="inlineStr">
        <is>
          <t>Purchase</t>
        </is>
      </c>
      <c r="E53" t="inlineStr"/>
      <c r="F53" t="inlineStr">
        <is>
          <t>STPL-25-26/179</t>
        </is>
      </c>
      <c r="G53" t="inlineStr">
        <is>
          <t>ABDCS7338G_STPL-25-26/179</t>
        </is>
      </c>
      <c r="H53" s="7" t="n">
        <v>45961</v>
      </c>
      <c r="I53" s="4" t="n">
        <v>277809.55</v>
      </c>
      <c r="J53" s="4" t="n">
        <v>235431.83</v>
      </c>
      <c r="K53" t="n">
        <v>18</v>
      </c>
      <c r="L53" s="4" t="n">
        <v>0</v>
      </c>
      <c r="M53" s="4" t="n">
        <v>21188.86</v>
      </c>
      <c r="N53" s="4" t="n">
        <v>21188.86</v>
      </c>
      <c r="O53" s="4" t="n">
        <v>0</v>
      </c>
      <c r="P53">
        <f>VLOOKUP(G53,'GST + Invocie No'!$B$5:$Y$183,24,0)</f>
        <v/>
      </c>
    </row>
    <row r="54">
      <c r="A54" s="7" t="n">
        <v>45962</v>
      </c>
      <c r="B54" t="inlineStr">
        <is>
          <t>Mobeep Communications Private Limited</t>
        </is>
      </c>
      <c r="C54" t="inlineStr">
        <is>
          <t>23AAQCM8669N1ZG</t>
        </is>
      </c>
      <c r="D54" t="inlineStr">
        <is>
          <t>Purchase</t>
        </is>
      </c>
      <c r="E54" t="inlineStr"/>
      <c r="F54" t="inlineStr">
        <is>
          <t>MCPL/25-26/41</t>
        </is>
      </c>
      <c r="G54" t="inlineStr">
        <is>
          <t>AAQCM8669N_MCPL/25-26/41</t>
        </is>
      </c>
      <c r="H54" s="7" t="n">
        <v>45962</v>
      </c>
      <c r="I54" s="4" t="n">
        <v>550065.48</v>
      </c>
      <c r="J54" s="4" t="n">
        <v>466156.48</v>
      </c>
      <c r="K54" t="n">
        <v>18</v>
      </c>
      <c r="L54" s="4" t="n">
        <v>83909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s="7" t="n">
        <v>45962</v>
      </c>
      <c r="B55" t="inlineStr">
        <is>
          <t>BLUE MESSAGGIO PRIVATE LIMITED</t>
        </is>
      </c>
      <c r="C55" t="inlineStr">
        <is>
          <t>27AALCB9501D1ZS</t>
        </is>
      </c>
      <c r="D55" t="inlineStr">
        <is>
          <t>Purchase</t>
        </is>
      </c>
      <c r="E55" t="inlineStr"/>
      <c r="F55" t="inlineStr">
        <is>
          <t>BMPL0109</t>
        </is>
      </c>
      <c r="G55" t="inlineStr">
        <is>
          <t>AALCB9501D_BMPL0109</t>
        </is>
      </c>
      <c r="H55" s="7" t="n">
        <v>45964</v>
      </c>
      <c r="I55" s="4" t="n">
        <v>2271965.31</v>
      </c>
      <c r="J55" s="4" t="n">
        <v>1925394.33</v>
      </c>
      <c r="K55" t="n">
        <v>18</v>
      </c>
      <c r="L55" s="4" t="n">
        <v>0</v>
      </c>
      <c r="M55" s="4" t="n">
        <v>173285.49</v>
      </c>
      <c r="N55" s="4" t="n">
        <v>173285.49</v>
      </c>
      <c r="O55" s="4" t="n">
        <v>0</v>
      </c>
      <c r="P55">
        <f>VLOOKUP(G55,'GST + Invocie No'!$B$5:$Y$183,24,0)</f>
        <v/>
      </c>
    </row>
    <row r="56">
      <c r="A56" s="7" t="n">
        <v>45962</v>
      </c>
      <c r="B56" t="inlineStr">
        <is>
          <t>Route Mobile Limited</t>
        </is>
      </c>
      <c r="C56" t="inlineStr">
        <is>
          <t>27AACCR7740M1ZX</t>
        </is>
      </c>
      <c r="D56" t="inlineStr">
        <is>
          <t>Purchase</t>
        </is>
      </c>
      <c r="E56" t="inlineStr"/>
      <c r="F56" t="inlineStr">
        <is>
          <t>RM/11-25/PP0360</t>
        </is>
      </c>
      <c r="G56" t="inlineStr">
        <is>
          <t>AACCR7740M_RM/11-25/PP0360</t>
        </is>
      </c>
      <c r="H56" s="7" t="n">
        <v>45982</v>
      </c>
      <c r="I56" s="4" t="n">
        <v>1062202.25</v>
      </c>
      <c r="J56" s="4" t="n">
        <v>900171.39</v>
      </c>
      <c r="K56" t="n">
        <v>18</v>
      </c>
      <c r="L56" s="4" t="n">
        <v>0</v>
      </c>
      <c r="M56" s="4" t="n">
        <v>81015.42999999999</v>
      </c>
      <c r="N56" s="4" t="n">
        <v>81015.42999999999</v>
      </c>
      <c r="O56" s="4" t="n">
        <v>0</v>
      </c>
      <c r="P56">
        <f>VLOOKUP(G56,'GST + Invocie No'!$B$5:$Y$183,24,0)</f>
        <v/>
      </c>
    </row>
    <row r="57">
      <c r="A57" s="7" t="n">
        <v>45962</v>
      </c>
      <c r="B57" t="inlineStr">
        <is>
          <t>Dove Soft  Ltd (P)</t>
        </is>
      </c>
      <c r="C57" t="inlineStr">
        <is>
          <t>27AADCD9460D1ZO</t>
        </is>
      </c>
      <c r="D57" t="inlineStr">
        <is>
          <t>Purchase</t>
        </is>
      </c>
      <c r="E57" t="inlineStr"/>
      <c r="F57" t="inlineStr">
        <is>
          <t>25-26/11/256</t>
        </is>
      </c>
      <c r="G57" t="inlineStr">
        <is>
          <t>AADCD9460D_25-26/11/256</t>
        </is>
      </c>
      <c r="H57" s="7" t="n">
        <v>45990</v>
      </c>
      <c r="I57" s="4" t="n">
        <v>11800</v>
      </c>
      <c r="J57" s="4" t="n">
        <v>10000</v>
      </c>
      <c r="K57" t="n">
        <v>18</v>
      </c>
      <c r="L57" s="4" t="n">
        <v>0</v>
      </c>
      <c r="M57" s="4" t="n">
        <v>900</v>
      </c>
      <c r="N57" s="4" t="n">
        <v>900</v>
      </c>
      <c r="O57" s="4" t="n">
        <v>0</v>
      </c>
      <c r="P57">
        <f>VLOOKUP(G57,'GST + Invocie No'!$B$5:$Y$183,24,0)</f>
        <v/>
      </c>
    </row>
    <row r="58">
      <c r="A58" s="7" t="n">
        <v>45962</v>
      </c>
      <c r="B58" t="inlineStr">
        <is>
          <t>TAGG TELESERVICES PRIVATE LIMITED</t>
        </is>
      </c>
      <c r="C58" t="inlineStr">
        <is>
          <t>07AAHCT4293N1ZO</t>
        </is>
      </c>
      <c r="D58" t="inlineStr">
        <is>
          <t>Purchase</t>
        </is>
      </c>
      <c r="E58" t="inlineStr"/>
      <c r="F58" t="inlineStr">
        <is>
          <t>TTSPL20251114</t>
        </is>
      </c>
      <c r="G58" t="inlineStr">
        <is>
          <t>AAHCT4293N_TTSPL20251114</t>
        </is>
      </c>
      <c r="H58" s="7" t="n">
        <v>45991</v>
      </c>
      <c r="I58" s="4" t="n">
        <v>24172.02</v>
      </c>
      <c r="J58" s="4" t="n">
        <v>20484.76</v>
      </c>
      <c r="K58" t="n">
        <v>18</v>
      </c>
      <c r="L58" s="4" t="n">
        <v>3687.26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s="7" t="n">
        <v>45962</v>
      </c>
      <c r="B59" t="inlineStr">
        <is>
          <t>SEVEN OCEANS TELESERVICES PRIVATE LIMITED</t>
        </is>
      </c>
      <c r="C59" t="inlineStr">
        <is>
          <t>27ABDCS7338G1Z4</t>
        </is>
      </c>
      <c r="D59" t="inlineStr">
        <is>
          <t>Purchase</t>
        </is>
      </c>
      <c r="E59" t="inlineStr"/>
      <c r="F59" t="inlineStr">
        <is>
          <t>STPL/25-26/206</t>
        </is>
      </c>
      <c r="G59" t="inlineStr">
        <is>
          <t>ABDCS7338G_STPL/25-26/206</t>
        </is>
      </c>
      <c r="H59" s="7" t="n">
        <v>45991</v>
      </c>
      <c r="I59" s="4" t="n">
        <v>67299.83</v>
      </c>
      <c r="J59" s="4" t="n">
        <v>57033.75</v>
      </c>
      <c r="K59" t="n">
        <v>18</v>
      </c>
      <c r="L59" s="4" t="n">
        <v>0</v>
      </c>
      <c r="M59" s="4" t="n">
        <v>5133.04</v>
      </c>
      <c r="N59" s="4" t="n">
        <v>5133.04</v>
      </c>
      <c r="O59" s="4" t="n">
        <v>0</v>
      </c>
      <c r="P59">
        <f>VLOOKUP(G59,'GST + Invocie No'!$B$5:$Y$183,24,0)</f>
        <v/>
      </c>
    </row>
    <row r="60">
      <c r="A60" s="7" t="n">
        <v>45992</v>
      </c>
      <c r="B60" t="inlineStr">
        <is>
          <t>ONEXTEL MEDIA PRIVATE LIMITED-Cr</t>
        </is>
      </c>
      <c r="C60" t="inlineStr">
        <is>
          <t>09AACCO0905F2ZR</t>
        </is>
      </c>
      <c r="D60" t="inlineStr">
        <is>
          <t>Purchase</t>
        </is>
      </c>
      <c r="E60" t="inlineStr"/>
      <c r="F60" t="inlineStr">
        <is>
          <t>ONEX25-26/12/142</t>
        </is>
      </c>
      <c r="G60" t="inlineStr">
        <is>
          <t>AACCO0905F_ONEX25-26/12/142</t>
        </is>
      </c>
      <c r="H60" s="7" t="n">
        <v>45993</v>
      </c>
      <c r="I60" s="4" t="n">
        <v>41710175.02</v>
      </c>
      <c r="J60" s="4" t="n">
        <v>35347605.95</v>
      </c>
      <c r="K60" t="n">
        <v>18</v>
      </c>
      <c r="L60" s="4" t="n">
        <v>6362569.07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s="7" t="n">
        <v>45992</v>
      </c>
      <c r="B61" t="inlineStr">
        <is>
          <t>Dove Soft  Ltd (P)</t>
        </is>
      </c>
      <c r="C61" t="inlineStr">
        <is>
          <t>27AADCD9460D1ZO</t>
        </is>
      </c>
      <c r="D61" t="inlineStr">
        <is>
          <t>Purchase</t>
        </is>
      </c>
      <c r="E61" t="inlineStr"/>
      <c r="F61" t="inlineStr">
        <is>
          <t>25-26/12/63</t>
        </is>
      </c>
      <c r="G61" t="inlineStr">
        <is>
          <t>AADCD9460D_25-26/12/63</t>
        </is>
      </c>
      <c r="H61" s="7" t="n">
        <v>46000</v>
      </c>
      <c r="I61" s="4" t="n">
        <v>2748280.07</v>
      </c>
      <c r="J61" s="4" t="n">
        <v>2329050.91</v>
      </c>
      <c r="K61" t="n">
        <v>18</v>
      </c>
      <c r="L61" s="4" t="n">
        <v>0</v>
      </c>
      <c r="M61" s="4" t="n">
        <v>209614.58</v>
      </c>
      <c r="N61" s="4" t="n">
        <v>209614.58</v>
      </c>
      <c r="O61" s="4" t="n">
        <v>0</v>
      </c>
      <c r="P61">
        <f>VLOOKUP(G61,'GST + Invocie No'!$B$5:$Y$183,24,0)</f>
        <v/>
      </c>
    </row>
    <row r="62">
      <c r="A62" s="7" t="n">
        <v>45992</v>
      </c>
      <c r="B62" t="inlineStr">
        <is>
          <t>BLUE MESSAGGIO PRIVATE LIMITED</t>
        </is>
      </c>
      <c r="C62" t="inlineStr">
        <is>
          <t>27AALCB9501D1ZS</t>
        </is>
      </c>
      <c r="D62" t="inlineStr">
        <is>
          <t>Purchase</t>
        </is>
      </c>
      <c r="E62" t="inlineStr"/>
      <c r="F62" t="inlineStr">
        <is>
          <t>BMPL0121</t>
        </is>
      </c>
      <c r="G62" t="inlineStr">
        <is>
          <t>AALCB9501D_BMPL0121</t>
        </is>
      </c>
      <c r="H62" s="7" t="n">
        <v>45997</v>
      </c>
      <c r="I62" s="4" t="n">
        <v>1184700.23</v>
      </c>
      <c r="J62" s="4" t="n">
        <v>1003983.25</v>
      </c>
      <c r="K62" t="n">
        <v>18</v>
      </c>
      <c r="L62" s="4" t="n">
        <v>0</v>
      </c>
      <c r="M62" s="4" t="n">
        <v>90358.49000000001</v>
      </c>
      <c r="N62" s="4" t="n">
        <v>90358.49000000001</v>
      </c>
      <c r="O62" s="4" t="n">
        <v>0</v>
      </c>
      <c r="P62">
        <f>VLOOKUP(G62,'GST + Invocie No'!$B$5:$Y$183,24,0)</f>
        <v/>
      </c>
    </row>
    <row r="63">
      <c r="A63" s="7" t="n">
        <v>45992</v>
      </c>
      <c r="B63" t="inlineStr">
        <is>
          <t>Mobeep Communications Private Limited</t>
        </is>
      </c>
      <c r="C63" t="inlineStr">
        <is>
          <t>23AAQCM8669N1ZG</t>
        </is>
      </c>
      <c r="D63" t="inlineStr">
        <is>
          <t>Purchase</t>
        </is>
      </c>
      <c r="E63" t="inlineStr"/>
      <c r="F63" t="inlineStr">
        <is>
          <t>MCPL/25-26/49</t>
        </is>
      </c>
      <c r="G63" t="inlineStr">
        <is>
          <t>AAQCM8669N_MCPL/25-26/49</t>
        </is>
      </c>
      <c r="H63" s="7" t="n">
        <v>46003</v>
      </c>
      <c r="I63" s="4" t="n">
        <v>317270.39</v>
      </c>
      <c r="J63" s="4" t="n">
        <v>268872.39</v>
      </c>
      <c r="K63" t="n">
        <v>18</v>
      </c>
      <c r="L63" s="4" t="n">
        <v>48398</v>
      </c>
      <c r="M63" s="4" t="n">
        <v>0</v>
      </c>
      <c r="N63" s="4" t="n">
        <v>0</v>
      </c>
      <c r="O63" s="4" t="n">
        <v>0</v>
      </c>
      <c r="P63">
        <f>VLOOKUP(G63,'GST + Invocie No'!$B$5:$Y$183,24,0)</f>
        <v/>
      </c>
    </row>
    <row r="64">
      <c r="A64" s="7" t="n">
        <v>45992</v>
      </c>
      <c r="B64" t="inlineStr">
        <is>
          <t>Genshi Solutions Private Limited</t>
        </is>
      </c>
      <c r="C64" t="inlineStr">
        <is>
          <t>06AAKCG3365R1ZX</t>
        </is>
      </c>
      <c r="D64" t="inlineStr">
        <is>
          <t>Purchase</t>
        </is>
      </c>
      <c r="E64" t="inlineStr"/>
      <c r="F64" t="inlineStr">
        <is>
          <t>RC-3126</t>
        </is>
      </c>
      <c r="G64" t="inlineStr">
        <is>
          <t>AAKCG3365R_RC-3126</t>
        </is>
      </c>
      <c r="H64" s="7" t="n">
        <v>46009</v>
      </c>
      <c r="I64" s="4" t="n">
        <v>88500</v>
      </c>
      <c r="J64" s="4" t="n">
        <v>75000</v>
      </c>
      <c r="K64" t="n">
        <v>18</v>
      </c>
      <c r="L64" s="4" t="n">
        <v>13500</v>
      </c>
      <c r="M64" s="4" t="n">
        <v>0</v>
      </c>
      <c r="N64" s="4" t="n">
        <v>0</v>
      </c>
      <c r="O64" s="4" t="n">
        <v>0</v>
      </c>
      <c r="P64">
        <f>VLOOKUP(G64,'GST + Invocie No'!$B$5:$Y$183,24,0)</f>
        <v/>
      </c>
    </row>
    <row r="65">
      <c r="A65" s="7" t="n">
        <v>45992</v>
      </c>
      <c r="B65" t="inlineStr">
        <is>
          <t>Dove Soft  Ltd (P)</t>
        </is>
      </c>
      <c r="C65" t="inlineStr">
        <is>
          <t>27AADCD9460D1ZO</t>
        </is>
      </c>
      <c r="D65" t="inlineStr">
        <is>
          <t>Purchase</t>
        </is>
      </c>
      <c r="E65" t="inlineStr"/>
      <c r="F65" t="inlineStr">
        <is>
          <t>25-26/12/270</t>
        </is>
      </c>
      <c r="G65" t="inlineStr">
        <is>
          <t>AADCD9460D_25-26/12/270</t>
        </is>
      </c>
      <c r="H65" s="7" t="n">
        <v>46022</v>
      </c>
      <c r="I65" s="4" t="n">
        <v>11800</v>
      </c>
      <c r="J65" s="4" t="n">
        <v>10000</v>
      </c>
      <c r="K65" t="n">
        <v>18</v>
      </c>
      <c r="L65" s="4" t="n">
        <v>0</v>
      </c>
      <c r="M65" s="4" t="n">
        <v>900</v>
      </c>
      <c r="N65" s="4" t="n">
        <v>900</v>
      </c>
      <c r="O65" s="4" t="n">
        <v>0</v>
      </c>
      <c r="P65">
        <f>VLOOKUP(G65,'GST + Invocie No'!$B$5:$Y$183,24,0)</f>
        <v/>
      </c>
    </row>
    <row r="66">
      <c r="A66" s="7" t="n">
        <v>45992</v>
      </c>
      <c r="B66" t="inlineStr">
        <is>
          <t>SEVEN OCEANS TELESERVICES PRIVATE LIMITED</t>
        </is>
      </c>
      <c r="C66" t="inlineStr">
        <is>
          <t>27ABDCS7338G1Z4</t>
        </is>
      </c>
      <c r="D66" t="inlineStr">
        <is>
          <t>Purchase</t>
        </is>
      </c>
      <c r="E66" t="inlineStr"/>
      <c r="F66" t="inlineStr">
        <is>
          <t>STPL/25-26/231</t>
        </is>
      </c>
      <c r="G66" t="inlineStr">
        <is>
          <t>ABDCS7338G_STPL/25-26/231</t>
        </is>
      </c>
      <c r="H66" s="7" t="n">
        <v>46022</v>
      </c>
      <c r="I66" s="4" t="n">
        <v>187225.61</v>
      </c>
      <c r="J66" s="4" t="n">
        <v>158665.77</v>
      </c>
      <c r="K66" t="n">
        <v>18</v>
      </c>
      <c r="L66" s="4" t="n">
        <v>0</v>
      </c>
      <c r="M66" s="4" t="n">
        <v>14279.92</v>
      </c>
      <c r="N66" s="4" t="n">
        <v>14279.92</v>
      </c>
      <c r="O66" s="4" t="n">
        <v>0</v>
      </c>
      <c r="P66">
        <f>VLOOKUP(G66,'GST + Invocie No'!$B$5:$Y$183,24,0)</f>
        <v/>
      </c>
    </row>
    <row r="67">
      <c r="A67" s="7" t="n">
        <v>45992</v>
      </c>
      <c r="B67" t="inlineStr">
        <is>
          <t>TAGG TELESERVICES PRIVATE LIMITED</t>
        </is>
      </c>
      <c r="C67" t="inlineStr">
        <is>
          <t>07AAHCT4293N1ZO</t>
        </is>
      </c>
      <c r="D67" t="inlineStr">
        <is>
          <t>Purchase</t>
        </is>
      </c>
      <c r="E67" t="inlineStr"/>
      <c r="F67" t="inlineStr">
        <is>
          <t>TTSPL20251225</t>
        </is>
      </c>
      <c r="G67" t="inlineStr">
        <is>
          <t>AAHCT4293N_TTSPL20251225</t>
        </is>
      </c>
      <c r="H67" s="7" t="n">
        <v>46022</v>
      </c>
      <c r="I67" s="4" t="n">
        <v>26611.76</v>
      </c>
      <c r="J67" s="4" t="n">
        <v>22552.34</v>
      </c>
      <c r="K67" t="n">
        <v>18</v>
      </c>
      <c r="L67" s="4" t="n">
        <v>4059.42</v>
      </c>
      <c r="M67" s="4" t="n">
        <v>0</v>
      </c>
      <c r="N67" s="4" t="n">
        <v>0</v>
      </c>
      <c r="O67" s="4" t="n">
        <v>0</v>
      </c>
      <c r="P67">
        <f>VLOOKUP(G67,'GST + Invocie No'!$B$5:$Y$183,24,0)</f>
        <v/>
      </c>
    </row>
    <row r="68">
      <c r="A68" s="7" t="n">
        <v>45992</v>
      </c>
      <c r="B68" t="inlineStr">
        <is>
          <t>SARV WEBS PRIVATE LIMITED</t>
        </is>
      </c>
      <c r="C68" t="inlineStr">
        <is>
          <t>08AAPCS9984F1ZG</t>
        </is>
      </c>
      <c r="D68" t="inlineStr">
        <is>
          <t>Purchase</t>
        </is>
      </c>
      <c r="E68" t="inlineStr"/>
      <c r="F68" t="inlineStr">
        <is>
          <t>SWPLDEC25-26/147</t>
        </is>
      </c>
      <c r="G68" t="inlineStr">
        <is>
          <t>AAPCS9984F_SWPLDEC25-26/147</t>
        </is>
      </c>
      <c r="H68" s="7" t="n">
        <v>46022</v>
      </c>
      <c r="I68" s="4" t="n">
        <v>17872135.1</v>
      </c>
      <c r="J68" s="4" t="n">
        <v>15145877.2</v>
      </c>
      <c r="K68" t="n">
        <v>18</v>
      </c>
      <c r="L68" s="4" t="n">
        <v>2726257.9</v>
      </c>
      <c r="M68" s="4" t="n">
        <v>0</v>
      </c>
      <c r="N68" s="4" t="n">
        <v>0</v>
      </c>
      <c r="O68" s="4" t="n">
        <v>0</v>
      </c>
      <c r="P68">
        <f>VLOOKUP(G68,'GST + Invocie No'!$B$5:$Y$183,24,0)</f>
        <v/>
      </c>
    </row>
    <row r="69">
      <c r="A69" s="7" t="n">
        <v>45992</v>
      </c>
      <c r="B69" t="inlineStr">
        <is>
          <t>Dove Soft  Ltd (P)</t>
        </is>
      </c>
      <c r="C69" t="inlineStr">
        <is>
          <t>27AADCD9460D1ZO</t>
        </is>
      </c>
      <c r="D69" t="inlineStr">
        <is>
          <t>Purchase</t>
        </is>
      </c>
      <c r="E69" t="inlineStr"/>
      <c r="F69" t="inlineStr">
        <is>
          <t>25-26/12/375</t>
        </is>
      </c>
      <c r="G69" t="inlineStr">
        <is>
          <t>AADCD9460D_25-26/12/375</t>
        </is>
      </c>
      <c r="H69" s="7" t="n">
        <v>46022</v>
      </c>
      <c r="I69" s="4" t="n">
        <v>4474324.83</v>
      </c>
      <c r="J69" s="4" t="n">
        <v>3791800.71</v>
      </c>
      <c r="K69" t="n">
        <v>18</v>
      </c>
      <c r="L69" s="4" t="n">
        <v>0</v>
      </c>
      <c r="M69" s="4" t="n">
        <v>341262.06</v>
      </c>
      <c r="N69" s="4" t="n">
        <v>341262.06</v>
      </c>
      <c r="O69" s="4" t="n">
        <v>0</v>
      </c>
      <c r="P69">
        <f>VLOOKUP(G69,'GST + Invocie No'!$B$5:$Y$183,24,0)</f>
        <v/>
      </c>
    </row>
    <row r="70">
      <c r="A70" s="7" t="n">
        <v>45992</v>
      </c>
      <c r="B70" t="inlineStr">
        <is>
          <t>Dove Soft  Ltd (P)</t>
        </is>
      </c>
      <c r="C70" t="inlineStr">
        <is>
          <t>27AADCD9460D1ZO</t>
        </is>
      </c>
      <c r="D70" t="inlineStr">
        <is>
          <t>Purchase</t>
        </is>
      </c>
      <c r="E70" t="inlineStr"/>
      <c r="F70" t="inlineStr">
        <is>
          <t>25-26/12/376</t>
        </is>
      </c>
      <c r="G70" t="inlineStr">
        <is>
          <t>AADCD9460D_25-26/12/376</t>
        </is>
      </c>
      <c r="H70" s="7" t="n">
        <v>46022</v>
      </c>
      <c r="I70" s="4" t="n">
        <v>1034095.53</v>
      </c>
      <c r="J70" s="4" t="n">
        <v>876352.15</v>
      </c>
      <c r="K70" t="n">
        <v>18</v>
      </c>
      <c r="L70" s="4" t="n">
        <v>0</v>
      </c>
      <c r="M70" s="4" t="n">
        <v>78871.69</v>
      </c>
      <c r="N70" s="4" t="n">
        <v>78871.69</v>
      </c>
      <c r="O70" s="4" t="n">
        <v>0</v>
      </c>
      <c r="P70">
        <f>VLOOKUP(G70,'GST + Invocie No'!$B$5:$Y$183,24,0)</f>
        <v/>
      </c>
    </row>
    <row r="71">
      <c r="A71" s="7" t="n">
        <v>45992</v>
      </c>
      <c r="B71" t="inlineStr">
        <is>
          <t>Dove Soft  Ltd (P)</t>
        </is>
      </c>
      <c r="C71" t="inlineStr">
        <is>
          <t>27AADCD9460D1ZO</t>
        </is>
      </c>
      <c r="D71" t="inlineStr">
        <is>
          <t>Purchase</t>
        </is>
      </c>
      <c r="E71" t="inlineStr"/>
      <c r="F71" t="inlineStr">
        <is>
          <t>25-26/12/377</t>
        </is>
      </c>
      <c r="G71" t="inlineStr">
        <is>
          <t>AADCD9460D_25-26/12/377</t>
        </is>
      </c>
      <c r="H71" s="7" t="n">
        <v>46022</v>
      </c>
      <c r="I71" s="4" t="n">
        <v>278221.75</v>
      </c>
      <c r="J71" s="4" t="n">
        <v>235781.15</v>
      </c>
      <c r="K71" t="n">
        <v>18</v>
      </c>
      <c r="L71" s="4" t="n">
        <v>0</v>
      </c>
      <c r="M71" s="4" t="n">
        <v>21220.3</v>
      </c>
      <c r="N71" s="4" t="n">
        <v>21220.3</v>
      </c>
      <c r="O71" s="4" t="n">
        <v>0</v>
      </c>
      <c r="P71">
        <f>VLOOKUP(G71,'GST + Invocie No'!$B$5:$Y$183,24,0)</f>
        <v/>
      </c>
    </row>
    <row r="72">
      <c r="A72" s="7" t="n">
        <v>45992</v>
      </c>
      <c r="B72" t="inlineStr">
        <is>
          <t>Dove Soft  Ltd (P)</t>
        </is>
      </c>
      <c r="C72" t="inlineStr">
        <is>
          <t>27AADCD9460D1ZO</t>
        </is>
      </c>
      <c r="D72" t="inlineStr">
        <is>
          <t>Purchase</t>
        </is>
      </c>
      <c r="E72" t="inlineStr"/>
      <c r="F72" t="inlineStr">
        <is>
          <t>25-26/12/378</t>
        </is>
      </c>
      <c r="G72" t="inlineStr">
        <is>
          <t>AADCD9460D_25-26/12/378</t>
        </is>
      </c>
      <c r="H72" s="7" t="n">
        <v>46022</v>
      </c>
      <c r="I72" s="4" t="n">
        <v>395711.53</v>
      </c>
      <c r="J72" s="4" t="n">
        <v>335348.75</v>
      </c>
      <c r="K72" t="n">
        <v>18</v>
      </c>
      <c r="L72" s="4" t="n">
        <v>0</v>
      </c>
      <c r="M72" s="4" t="n">
        <v>30181.39</v>
      </c>
      <c r="N72" s="4" t="n">
        <v>30181.39</v>
      </c>
      <c r="O72" s="4" t="n">
        <v>0</v>
      </c>
      <c r="P72">
        <f>VLOOKUP(G72,'GST + Invocie No'!$B$5:$Y$183,24,0)</f>
        <v/>
      </c>
    </row>
    <row r="73">
      <c r="A73" s="7" t="n">
        <v>46023</v>
      </c>
      <c r="B73" t="inlineStr">
        <is>
          <t>Genshi Solutions Private Limited</t>
        </is>
      </c>
      <c r="C73" t="inlineStr">
        <is>
          <t>06AAKCG3365R1ZX</t>
        </is>
      </c>
      <c r="D73" t="inlineStr">
        <is>
          <t>Purchase</t>
        </is>
      </c>
      <c r="E73" t="inlineStr"/>
      <c r="F73" t="inlineStr">
        <is>
          <t>RC-3360</t>
        </is>
      </c>
      <c r="G73" t="inlineStr">
        <is>
          <t>AAKCG3365R_RC-3360</t>
        </is>
      </c>
      <c r="H73" s="7" t="n">
        <v>46027</v>
      </c>
      <c r="I73" s="4" t="n">
        <v>53100</v>
      </c>
      <c r="J73" s="4" t="n">
        <v>45000</v>
      </c>
      <c r="K73" t="n">
        <v>18</v>
      </c>
      <c r="L73" s="4" t="n">
        <v>8100</v>
      </c>
      <c r="M73" s="4" t="n">
        <v>0</v>
      </c>
      <c r="N73" s="4" t="n">
        <v>0</v>
      </c>
      <c r="O73" s="4" t="n">
        <v>0</v>
      </c>
      <c r="P73">
        <f>VLOOKUP(G73,'GST + Invocie No'!$B$5:$Y$183,24,0)</f>
        <v/>
      </c>
    </row>
    <row r="74">
      <c r="A74" s="7" t="n">
        <v>46023</v>
      </c>
      <c r="B74" t="inlineStr">
        <is>
          <t>BLUE MESSAGGIO PRIVATE LIMITED</t>
        </is>
      </c>
      <c r="C74" t="inlineStr">
        <is>
          <t>27AALCB9501D1ZS</t>
        </is>
      </c>
      <c r="D74" t="inlineStr">
        <is>
          <t>Purchase</t>
        </is>
      </c>
      <c r="E74" t="inlineStr"/>
      <c r="F74" t="inlineStr">
        <is>
          <t>BMPL0145</t>
        </is>
      </c>
      <c r="G74" t="inlineStr">
        <is>
          <t>AALCB9501D_BMPL0145</t>
        </is>
      </c>
      <c r="H74" s="7" t="n">
        <v>46025</v>
      </c>
      <c r="I74" s="4" t="n">
        <v>2610856.74</v>
      </c>
      <c r="J74" s="4" t="n">
        <v>2212590.46</v>
      </c>
      <c r="K74" t="n">
        <v>18</v>
      </c>
      <c r="L74" s="4" t="n">
        <v>0</v>
      </c>
      <c r="M74" s="4" t="n">
        <v>199133.14</v>
      </c>
      <c r="N74" s="4" t="n">
        <v>199133.14</v>
      </c>
      <c r="O74" s="4" t="n">
        <v>0</v>
      </c>
      <c r="P74">
        <f>VLOOKUP(G74,'GST + Invocie No'!$B$5:$Y$183,24,0)</f>
        <v/>
      </c>
    </row>
    <row r="75">
      <c r="A75" s="7" t="n">
        <v>46023</v>
      </c>
      <c r="B75" t="inlineStr">
        <is>
          <t>ONEXTEL MEDIA PRIVATE LIMITED-Cr</t>
        </is>
      </c>
      <c r="C75" t="inlineStr">
        <is>
          <t>09AACCO0905F2ZR</t>
        </is>
      </c>
      <c r="D75" t="inlineStr">
        <is>
          <t>Purchase</t>
        </is>
      </c>
      <c r="E75" t="inlineStr"/>
      <c r="F75" t="inlineStr">
        <is>
          <t>ONEX25-26/01/211</t>
        </is>
      </c>
      <c r="G75" t="inlineStr">
        <is>
          <t>AACCO0905F_ONEX25-26/01/211</t>
        </is>
      </c>
      <c r="H75" s="7" t="n">
        <v>46029</v>
      </c>
      <c r="I75" s="4" t="n">
        <v>62690646.36</v>
      </c>
      <c r="J75" s="4" t="n">
        <v>53127666.41</v>
      </c>
      <c r="K75" t="n">
        <v>18</v>
      </c>
      <c r="L75" s="4" t="n">
        <v>9562979.949999999</v>
      </c>
      <c r="M75" s="4" t="n">
        <v>0</v>
      </c>
      <c r="N75" s="4" t="n">
        <v>0</v>
      </c>
      <c r="O75" s="4" t="n">
        <v>0</v>
      </c>
      <c r="P75">
        <f>VLOOKUP(G75,'GST + Invocie No'!$B$5:$Y$183,24,0)</f>
        <v/>
      </c>
    </row>
    <row r="76">
      <c r="A76" s="7" t="n">
        <v>46023</v>
      </c>
      <c r="B76" t="inlineStr">
        <is>
          <t>Mobeep Communications Private Limited</t>
        </is>
      </c>
      <c r="C76" t="inlineStr">
        <is>
          <t>23AAQCM8669N1ZG</t>
        </is>
      </c>
      <c r="D76" t="inlineStr">
        <is>
          <t>Purchase</t>
        </is>
      </c>
      <c r="E76" t="inlineStr"/>
      <c r="F76" t="inlineStr">
        <is>
          <t>MCPL/25-26/55</t>
        </is>
      </c>
      <c r="G76" t="inlineStr">
        <is>
          <t>AAQCM8669N_MCPL/25-26/55</t>
        </is>
      </c>
      <c r="H76" s="7" t="n">
        <v>46023</v>
      </c>
      <c r="I76" s="4" t="n">
        <v>638251.7</v>
      </c>
      <c r="J76" s="4" t="n">
        <v>540890.7</v>
      </c>
      <c r="K76" t="n">
        <v>18</v>
      </c>
      <c r="L76" s="4" t="n">
        <v>97361</v>
      </c>
      <c r="M76" s="4" t="n">
        <v>0</v>
      </c>
      <c r="N76" s="4" t="n">
        <v>0</v>
      </c>
      <c r="O76" s="4" t="n">
        <v>0</v>
      </c>
      <c r="P76">
        <f>VLOOKUP(G76,'GST + Invocie No'!$B$5:$Y$183,24,0)</f>
        <v/>
      </c>
    </row>
    <row r="77">
      <c r="A77" s="7" t="n">
        <v>46023</v>
      </c>
      <c r="B77" t="inlineStr">
        <is>
          <t>Genshi Solutions Private Limited</t>
        </is>
      </c>
      <c r="C77" t="inlineStr">
        <is>
          <t>06AAKCG3365R1ZX</t>
        </is>
      </c>
      <c r="D77" t="inlineStr">
        <is>
          <t>Purchase</t>
        </is>
      </c>
      <c r="E77" t="inlineStr"/>
      <c r="F77" t="inlineStr">
        <is>
          <t>RC-3556</t>
        </is>
      </c>
      <c r="G77" t="inlineStr">
        <is>
          <t>AAKCG3365R_RC-3556</t>
        </is>
      </c>
      <c r="H77" s="7" t="n">
        <v>46039</v>
      </c>
      <c r="I77" s="4" t="n">
        <v>88500</v>
      </c>
      <c r="J77" s="4" t="n">
        <v>75000</v>
      </c>
      <c r="K77" t="n">
        <v>18</v>
      </c>
      <c r="L77" s="4" t="n">
        <v>13500</v>
      </c>
      <c r="M77" s="4" t="n">
        <v>0</v>
      </c>
      <c r="N77" s="4" t="n">
        <v>0</v>
      </c>
      <c r="O77" s="4" t="n">
        <v>0</v>
      </c>
      <c r="P77">
        <f>VLOOKUP(G77,'GST + Invocie No'!$B$5:$Y$183,24,0)</f>
        <v/>
      </c>
    </row>
    <row r="78">
      <c r="A78" s="7" t="n">
        <v>46023</v>
      </c>
      <c r="B78" t="inlineStr">
        <is>
          <t>Proactive Professional Services Pvt. Ltd.</t>
        </is>
      </c>
      <c r="C78" t="inlineStr">
        <is>
          <t>08AAECP9085D2Z5</t>
        </is>
      </c>
      <c r="D78" t="inlineStr">
        <is>
          <t>Purchase</t>
        </is>
      </c>
      <c r="E78" t="inlineStr"/>
      <c r="F78" t="inlineStr">
        <is>
          <t>PPSPL/25-26/0951</t>
        </is>
      </c>
      <c r="G78" t="inlineStr">
        <is>
          <t>AAECP9085D_PPSPL/25-26/0951</t>
        </is>
      </c>
      <c r="H78" s="7" t="n">
        <v>46039</v>
      </c>
      <c r="I78" s="4" t="n">
        <v>62925.62</v>
      </c>
      <c r="J78" s="4" t="n">
        <v>53326.8</v>
      </c>
      <c r="K78" t="n">
        <v>18</v>
      </c>
      <c r="L78" s="4" t="n">
        <v>9598.82</v>
      </c>
      <c r="M78" s="4" t="n">
        <v>0</v>
      </c>
      <c r="N78" s="4" t="n">
        <v>0</v>
      </c>
      <c r="O78" s="4" t="n">
        <v>0</v>
      </c>
      <c r="P78">
        <f>VLOOKUP(G78,'GST + Invocie No'!$B$5:$Y$183,24,0)</f>
        <v/>
      </c>
    </row>
    <row r="79">
      <c r="A79" s="7" t="n">
        <v>46023</v>
      </c>
      <c r="B79" t="inlineStr">
        <is>
          <t>TAGG TELESERVICES PRIVATE LIMITED</t>
        </is>
      </c>
      <c r="C79" t="inlineStr">
        <is>
          <t>07AAHCT4293N1ZO</t>
        </is>
      </c>
      <c r="D79" t="inlineStr">
        <is>
          <t>Purchase</t>
        </is>
      </c>
      <c r="E79" t="inlineStr"/>
      <c r="F79" t="inlineStr">
        <is>
          <t>TTSPL20260124</t>
        </is>
      </c>
      <c r="G79" t="inlineStr">
        <is>
          <t>AAHCT4293N_TTSPL20260124</t>
        </is>
      </c>
      <c r="H79" s="7" t="n">
        <v>46053</v>
      </c>
      <c r="I79" s="4" t="n">
        <v>33782.73</v>
      </c>
      <c r="J79" s="4" t="n">
        <v>28629.43</v>
      </c>
      <c r="K79" t="n">
        <v>18</v>
      </c>
      <c r="L79" s="4" t="n">
        <v>5153.3</v>
      </c>
      <c r="M79" s="4" t="n">
        <v>0</v>
      </c>
      <c r="N79" s="4" t="n">
        <v>0</v>
      </c>
      <c r="O79" s="4" t="n">
        <v>0</v>
      </c>
      <c r="P79">
        <f>VLOOKUP(G79,'GST + Invocie No'!$B$5:$Y$183,24,0)</f>
        <v/>
      </c>
    </row>
    <row r="80">
      <c r="A80" s="7" t="n">
        <v>46023</v>
      </c>
      <c r="B80" t="inlineStr">
        <is>
          <t>SEVEN OCEANS TELESERVICES PRIVATE LIMITED</t>
        </is>
      </c>
      <c r="C80" t="inlineStr">
        <is>
          <t>27ABDCS7338G1Z4</t>
        </is>
      </c>
      <c r="D80" t="inlineStr">
        <is>
          <t>Purchase</t>
        </is>
      </c>
      <c r="E80" t="inlineStr"/>
      <c r="F80" t="inlineStr">
        <is>
          <t>STPL/25-26/259</t>
        </is>
      </c>
      <c r="G80" t="inlineStr">
        <is>
          <t>ABDCS7338G_STPL/25-26/259</t>
        </is>
      </c>
      <c r="H80" s="7" t="n">
        <v>46053</v>
      </c>
      <c r="I80" s="4" t="n">
        <v>38896.89</v>
      </c>
      <c r="J80" s="4" t="n">
        <v>32963.47</v>
      </c>
      <c r="K80" t="n">
        <v>18</v>
      </c>
      <c r="L80" s="4" t="n">
        <v>0</v>
      </c>
      <c r="M80" s="4" t="n">
        <v>2966.71</v>
      </c>
      <c r="N80" s="4" t="n">
        <v>2966.71</v>
      </c>
      <c r="O80" s="4" t="n">
        <v>0</v>
      </c>
      <c r="P80">
        <f>VLOOKUP(G80,'GST + Invocie No'!$B$5:$Y$183,24,0)</f>
        <v/>
      </c>
    </row>
    <row r="81">
      <c r="A81" s="7" t="n">
        <v>46023</v>
      </c>
      <c r="B81" t="inlineStr">
        <is>
          <t>Dove Soft  Ltd (P)</t>
        </is>
      </c>
      <c r="C81" t="inlineStr">
        <is>
          <t>27AADCD9460D1ZO</t>
        </is>
      </c>
      <c r="D81" t="inlineStr">
        <is>
          <t>Purchase</t>
        </is>
      </c>
      <c r="E81" t="inlineStr"/>
      <c r="F81" t="inlineStr">
        <is>
          <t>25-26/1/366</t>
        </is>
      </c>
      <c r="G81" t="inlineStr">
        <is>
          <t>AADCD9460D_25-26/1/366</t>
        </is>
      </c>
      <c r="H81" s="7" t="n">
        <v>46053</v>
      </c>
      <c r="I81" s="4" t="n">
        <v>11800</v>
      </c>
      <c r="J81" s="4" t="n">
        <v>10000</v>
      </c>
      <c r="K81" t="n">
        <v>18</v>
      </c>
      <c r="L81" s="4" t="n">
        <v>0</v>
      </c>
      <c r="M81" s="4" t="n">
        <v>900</v>
      </c>
      <c r="N81" s="4" t="n">
        <v>900</v>
      </c>
      <c r="O81" s="4" t="n">
        <v>0</v>
      </c>
      <c r="P81">
        <f>VLOOKUP(G81,'GST + Invocie No'!$B$5:$Y$183,24,0)</f>
        <v/>
      </c>
    </row>
    <row r="82">
      <c r="A82" s="7" t="n">
        <v>46054</v>
      </c>
      <c r="B82" t="inlineStr">
        <is>
          <t>BLUE MESSAGGIO PRIVATE LIMITED</t>
        </is>
      </c>
      <c r="C82" t="inlineStr">
        <is>
          <t>27AALCB9501D1ZS</t>
        </is>
      </c>
      <c r="D82" t="inlineStr">
        <is>
          <t>Purchase</t>
        </is>
      </c>
      <c r="E82" t="inlineStr"/>
      <c r="F82" t="inlineStr">
        <is>
          <t>BMPL0168</t>
        </is>
      </c>
      <c r="G82" t="inlineStr">
        <is>
          <t>AALCB9501D_BMPL0168</t>
        </is>
      </c>
      <c r="H82" s="7" t="n">
        <v>46055</v>
      </c>
      <c r="I82" s="4" t="n">
        <v>2006287.64</v>
      </c>
      <c r="J82" s="4" t="n">
        <v>1700243.76</v>
      </c>
      <c r="K82" t="n">
        <v>18</v>
      </c>
      <c r="L82" s="4" t="n">
        <v>0</v>
      </c>
      <c r="M82" s="4" t="n">
        <v>153021.94</v>
      </c>
      <c r="N82" s="4" t="n">
        <v>153021.94</v>
      </c>
      <c r="O82" s="4" t="n">
        <v>0</v>
      </c>
      <c r="P82">
        <f>VLOOKUP(G82,'GST + Invocie No'!$B$5:$Y$183,24,0)</f>
        <v/>
      </c>
    </row>
    <row r="83">
      <c r="A83" s="7" t="n">
        <v>46054</v>
      </c>
      <c r="B83" t="inlineStr">
        <is>
          <t>Proactive Professional Services Pvt. Ltd.</t>
        </is>
      </c>
      <c r="C83" t="inlineStr">
        <is>
          <t>08AAECP9085D2Z5</t>
        </is>
      </c>
      <c r="D83" t="inlineStr">
        <is>
          <t>Purchase</t>
        </is>
      </c>
      <c r="E83" t="inlineStr"/>
      <c r="F83" t="inlineStr">
        <is>
          <t>PPSPL/25-26/1019</t>
        </is>
      </c>
      <c r="G83" t="inlineStr">
        <is>
          <t>AAECP9085D_PPSPL/25-26/1019</t>
        </is>
      </c>
      <c r="H83" s="7" t="n">
        <v>46055</v>
      </c>
      <c r="I83" s="4" t="n">
        <v>52410.22</v>
      </c>
      <c r="J83" s="4" t="n">
        <v>44415.44</v>
      </c>
      <c r="K83" t="n">
        <v>18</v>
      </c>
      <c r="L83" s="4" t="n">
        <v>7994.78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s="7" t="n">
        <v>46054</v>
      </c>
      <c r="B84" t="inlineStr">
        <is>
          <t>Genshi Solutions Private Limited</t>
        </is>
      </c>
      <c r="C84" t="inlineStr">
        <is>
          <t>06AAKCG3365R1ZX</t>
        </is>
      </c>
      <c r="D84" t="inlineStr">
        <is>
          <t>Purchase</t>
        </is>
      </c>
      <c r="E84" t="inlineStr"/>
      <c r="F84" t="inlineStr">
        <is>
          <t>RC-3766</t>
        </is>
      </c>
      <c r="G84" t="inlineStr">
        <is>
          <t>AAKCG3365R_RC-3766</t>
        </is>
      </c>
      <c r="H84" s="7" t="n">
        <v>46055</v>
      </c>
      <c r="I84" s="4" t="n">
        <v>53100</v>
      </c>
      <c r="J84" s="4" t="n">
        <v>45000</v>
      </c>
      <c r="K84" t="n">
        <v>18</v>
      </c>
      <c r="L84" s="4" t="n">
        <v>8100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s="7" t="n">
        <v>46054</v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Purchase</t>
        </is>
      </c>
      <c r="E85" t="inlineStr"/>
      <c r="F85" t="inlineStr">
        <is>
          <t>MCPL/25-26/63</t>
        </is>
      </c>
      <c r="G85" t="inlineStr">
        <is>
          <t>AAQCM8669N_MCPL/25-26/63</t>
        </is>
      </c>
      <c r="H85" s="7" t="n">
        <v>46055</v>
      </c>
      <c r="I85" s="4" t="n">
        <v>46400.06</v>
      </c>
      <c r="J85" s="4" t="n">
        <v>39322.06</v>
      </c>
      <c r="K85" t="n">
        <v>18</v>
      </c>
      <c r="L85" s="4" t="n">
        <v>7078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s="7" t="n">
        <v>46054</v>
      </c>
      <c r="B86" t="inlineStr">
        <is>
          <t>ONEXTEL MEDIA PRIVATE LIMITED-Cr</t>
        </is>
      </c>
      <c r="C86" t="inlineStr">
        <is>
          <t>09AACCO0905F2ZR</t>
        </is>
      </c>
      <c r="D86" t="inlineStr">
        <is>
          <t>Purchase</t>
        </is>
      </c>
      <c r="E86" t="inlineStr"/>
      <c r="F86" t="inlineStr">
        <is>
          <t>ONEX25-26/02/236</t>
        </is>
      </c>
      <c r="G86" t="inlineStr">
        <is>
          <t>AACCO0905F_ONEX25-26/02/236</t>
        </is>
      </c>
      <c r="H86" s="7" t="n">
        <v>46070</v>
      </c>
      <c r="I86" s="4" t="n">
        <v>47812394.1</v>
      </c>
      <c r="J86" s="4" t="n">
        <v>40518978.05</v>
      </c>
      <c r="K86" t="n">
        <v>18</v>
      </c>
      <c r="L86" s="4" t="n">
        <v>7293416.05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s="7" t="n">
        <v>46054</v>
      </c>
      <c r="B87" t="inlineStr">
        <is>
          <t>TAGG TELESERVICES PRIVATE LIMITED</t>
        </is>
      </c>
      <c r="C87" t="inlineStr">
        <is>
          <t>07AAHCT4293N1ZO</t>
        </is>
      </c>
      <c r="D87" t="inlineStr">
        <is>
          <t>Purchase</t>
        </is>
      </c>
      <c r="E87" t="inlineStr"/>
      <c r="F87" t="inlineStr">
        <is>
          <t>TTSPL20260217</t>
        </is>
      </c>
      <c r="G87" t="inlineStr">
        <is>
          <t>AAHCT4293N_TTSPL20260217</t>
        </is>
      </c>
      <c r="H87" s="7" t="n">
        <v>46081</v>
      </c>
      <c r="I87" s="4" t="n">
        <v>39046.42</v>
      </c>
      <c r="J87" s="4" t="n">
        <v>33090.19</v>
      </c>
      <c r="K87" t="n">
        <v>18</v>
      </c>
      <c r="L87" s="4" t="n">
        <v>5956.23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s="7" t="n">
        <v>46054</v>
      </c>
      <c r="B88" t="inlineStr">
        <is>
          <t>Dove Soft  Ltd (P)</t>
        </is>
      </c>
      <c r="C88" t="inlineStr">
        <is>
          <t>27AADCD9460D1ZO</t>
        </is>
      </c>
      <c r="D88" t="inlineStr">
        <is>
          <t>Purchase</t>
        </is>
      </c>
      <c r="E88" t="inlineStr"/>
      <c r="F88" t="inlineStr">
        <is>
          <t>25-26/2/331</t>
        </is>
      </c>
      <c r="G88" t="inlineStr">
        <is>
          <t>AADCD9460D_25-26/2/331</t>
        </is>
      </c>
      <c r="H88" s="7" t="n">
        <v>46081</v>
      </c>
      <c r="I88" s="4" t="n">
        <v>11800</v>
      </c>
      <c r="J88" s="4" t="n">
        <v>10000</v>
      </c>
      <c r="K88" t="n">
        <v>18</v>
      </c>
      <c r="L88" s="4" t="n">
        <v>0</v>
      </c>
      <c r="M88" s="4" t="n">
        <v>900</v>
      </c>
      <c r="N88" s="4" t="n">
        <v>900</v>
      </c>
      <c r="O88" s="4" t="n">
        <v>0</v>
      </c>
      <c r="P88">
        <f>VLOOKUP(G88,'GST + Invocie No'!$B$5:$Y$183,24,0)</f>
        <v/>
      </c>
    </row>
    <row r="89">
      <c r="A89" s="7" t="n">
        <v>46082</v>
      </c>
      <c r="B89" t="inlineStr">
        <is>
          <t>Genshi Solutions Private Limited</t>
        </is>
      </c>
      <c r="C89" t="inlineStr">
        <is>
          <t>06AAKCG3365R1ZX</t>
        </is>
      </c>
      <c r="D89" t="inlineStr">
        <is>
          <t>Purchase</t>
        </is>
      </c>
      <c r="E89" t="inlineStr"/>
      <c r="F89" t="inlineStr">
        <is>
          <t>RC4223</t>
        </is>
      </c>
      <c r="G89" t="inlineStr">
        <is>
          <t>AAKCG3365R_RC4223</t>
        </is>
      </c>
      <c r="H89" s="7" t="n">
        <v>46084</v>
      </c>
      <c r="I89" s="4" t="n">
        <v>53100</v>
      </c>
      <c r="J89" s="4" t="n">
        <v>45000</v>
      </c>
      <c r="K89" t="n">
        <v>18</v>
      </c>
      <c r="L89" s="4" t="n">
        <v>8100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s="7" t="n">
        <v>46082</v>
      </c>
      <c r="B90" t="inlineStr">
        <is>
          <t>Proactive Professional Services Pvt. Ltd.</t>
        </is>
      </c>
      <c r="C90" t="inlineStr">
        <is>
          <t>08AAECP9085D2Z5</t>
        </is>
      </c>
      <c r="D90" t="inlineStr">
        <is>
          <t>Purchase</t>
        </is>
      </c>
      <c r="E90" t="inlineStr"/>
      <c r="F90" t="inlineStr">
        <is>
          <t>PPSPL/25-26/1119</t>
        </is>
      </c>
      <c r="G90" t="inlineStr">
        <is>
          <t>AAECP9085D_PPSPL/25-26/1119</t>
        </is>
      </c>
      <c r="H90" s="7" t="n">
        <v>46087</v>
      </c>
      <c r="I90" s="4" t="n">
        <v>5300.09</v>
      </c>
      <c r="J90" s="4" t="n">
        <v>4491.6</v>
      </c>
      <c r="K90" t="n">
        <v>18</v>
      </c>
      <c r="L90" s="4" t="n">
        <v>808.49</v>
      </c>
      <c r="M90" s="4" t="n">
        <v>0</v>
      </c>
      <c r="N90" s="4" t="n">
        <v>0</v>
      </c>
      <c r="O90" s="4" t="n">
        <v>0</v>
      </c>
      <c r="P90">
        <f>VLOOKUP(G90,'GST + Invocie No'!$B$5:$Y$183,24,0)</f>
        <v/>
      </c>
    </row>
    <row r="91">
      <c r="A91" s="7" t="n">
        <v>46082</v>
      </c>
      <c r="B91" t="inlineStr">
        <is>
          <t>Mobeep Communications Private Limited</t>
        </is>
      </c>
      <c r="C91" t="inlineStr">
        <is>
          <t>23AAQCM8669N1ZG</t>
        </is>
      </c>
      <c r="D91" t="inlineStr">
        <is>
          <t>Purchase</t>
        </is>
      </c>
      <c r="E91" t="inlineStr"/>
      <c r="F91" t="inlineStr">
        <is>
          <t>MCPL/25-26/69</t>
        </is>
      </c>
      <c r="G91" t="inlineStr">
        <is>
          <t>AAQCM8669N_MCPL/25-26/69</t>
        </is>
      </c>
      <c r="H91" s="7" t="n">
        <v>46083</v>
      </c>
      <c r="I91" s="4" t="n">
        <v>45979.63</v>
      </c>
      <c r="J91" s="4" t="n">
        <v>38965.63</v>
      </c>
      <c r="K91" t="n">
        <v>18</v>
      </c>
      <c r="L91" s="4" t="n">
        <v>7014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s="7" t="n">
        <v>46082</v>
      </c>
      <c r="B92" t="inlineStr">
        <is>
          <t>BLUE MESSAGGIO PRIVATE LIMITED</t>
        </is>
      </c>
      <c r="C92" t="inlineStr">
        <is>
          <t>27AALCB9501D1ZS</t>
        </is>
      </c>
      <c r="D92" t="inlineStr">
        <is>
          <t>Purchase</t>
        </is>
      </c>
      <c r="E92" t="inlineStr"/>
      <c r="F92" t="inlineStr">
        <is>
          <t>BMPL0195</t>
        </is>
      </c>
      <c r="G92" t="inlineStr">
        <is>
          <t>AALCB9501D_BMPL0195</t>
        </is>
      </c>
      <c r="H92" s="7" t="n">
        <v>46083</v>
      </c>
      <c r="I92" s="4" t="n">
        <v>2944360.15</v>
      </c>
      <c r="J92" s="4" t="n">
        <v>2495220.47</v>
      </c>
      <c r="K92" t="n">
        <v>18</v>
      </c>
      <c r="L92" s="4" t="n">
        <v>0</v>
      </c>
      <c r="M92" s="4" t="n">
        <v>224569.84</v>
      </c>
      <c r="N92" s="4" t="n">
        <v>224569.84</v>
      </c>
      <c r="O92" s="4" t="n">
        <v>0</v>
      </c>
      <c r="P92">
        <f>VLOOKUP(G92,'GST + Invocie No'!$B$5:$Y$183,24,0)</f>
        <v/>
      </c>
    </row>
    <row r="93">
      <c r="A93" s="7" t="n">
        <v>46082</v>
      </c>
      <c r="B93" t="inlineStr">
        <is>
          <t>ONEXTEL MEDIA PRIVATE LIMITED-Cr</t>
        </is>
      </c>
      <c r="C93" t="inlineStr">
        <is>
          <t>09AACCO0905F2ZR</t>
        </is>
      </c>
      <c r="D93" t="inlineStr">
        <is>
          <t>Purchase</t>
        </is>
      </c>
      <c r="E93" t="inlineStr"/>
      <c r="F93" t="inlineStr">
        <is>
          <t>ONEX25-26/03/246</t>
        </is>
      </c>
      <c r="G93" t="inlineStr">
        <is>
          <t>AACCO0905F_ONEX25-26/03/246</t>
        </is>
      </c>
      <c r="H93" s="7" t="n">
        <v>46094</v>
      </c>
      <c r="I93" s="4" t="n">
        <v>49994484.48</v>
      </c>
      <c r="J93" s="4" t="n">
        <v>42368207.19</v>
      </c>
      <c r="K93" t="n">
        <v>18</v>
      </c>
      <c r="L93" s="4" t="n">
        <v>7626277.29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s="7" t="n">
        <v>46082</v>
      </c>
      <c r="B94" t="inlineStr">
        <is>
          <t>SMART TECH MESSAGING PRIVATE LIMITED-CR</t>
        </is>
      </c>
      <c r="C94" t="inlineStr">
        <is>
          <t>09ABHCS5775R1Z6</t>
        </is>
      </c>
      <c r="D94" t="inlineStr">
        <is>
          <t>Purchase</t>
        </is>
      </c>
      <c r="E94" t="inlineStr"/>
      <c r="F94" t="inlineStr">
        <is>
          <t>STMP/25-26/188</t>
        </is>
      </c>
      <c r="G94" t="inlineStr">
        <is>
          <t>ABHCS5775R_STMP/25-26/188</t>
        </is>
      </c>
      <c r="H94" s="7" t="n">
        <v>46099</v>
      </c>
      <c r="I94" s="4" t="n">
        <v>3588475.24</v>
      </c>
      <c r="J94" s="4" t="n">
        <v>3041080.71</v>
      </c>
      <c r="K94" t="n">
        <v>18</v>
      </c>
      <c r="L94" s="4" t="n">
        <v>547394.53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s="7" t="n">
        <v>46082</v>
      </c>
      <c r="B95" t="inlineStr">
        <is>
          <t>SMART TECH MESSAGING PRIVATE LIMITED-CR</t>
        </is>
      </c>
      <c r="C95" t="inlineStr">
        <is>
          <t>09ABHCS5775R1Z6</t>
        </is>
      </c>
      <c r="D95" t="inlineStr">
        <is>
          <t>Purchase</t>
        </is>
      </c>
      <c r="E95" t="inlineStr"/>
      <c r="F95" t="inlineStr">
        <is>
          <t>STMP/25-26/189</t>
        </is>
      </c>
      <c r="G95" t="inlineStr">
        <is>
          <t>ABHCS5775R_STMP/25-26/189</t>
        </is>
      </c>
      <c r="H95" s="7" t="n">
        <v>46099</v>
      </c>
      <c r="I95" s="4" t="n">
        <v>205196.62</v>
      </c>
      <c r="J95" s="4" t="n">
        <v>173895.44</v>
      </c>
      <c r="K95" t="n">
        <v>18</v>
      </c>
      <c r="L95" s="4" t="n">
        <v>31301.18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s="7" t="n">
        <v>46082</v>
      </c>
      <c r="B96" t="inlineStr">
        <is>
          <t>ONEXTEL MEDIA PRIVATE LIMITED-Cr</t>
        </is>
      </c>
      <c r="C96" t="inlineStr">
        <is>
          <t>09AACCO0905F2ZR</t>
        </is>
      </c>
      <c r="D96" t="inlineStr">
        <is>
          <t>Purchase</t>
        </is>
      </c>
      <c r="E96" t="inlineStr"/>
      <c r="F96" t="inlineStr">
        <is>
          <t>ONEX25-26/03/369</t>
        </is>
      </c>
      <c r="G96" t="inlineStr">
        <is>
          <t>AACCO0905F_ONEX25-26/03/369</t>
        </is>
      </c>
      <c r="H96" s="7" t="n">
        <v>46112</v>
      </c>
      <c r="I96" s="4" t="n">
        <v>47203797.06</v>
      </c>
      <c r="J96" s="4" t="n">
        <v>40003217.85</v>
      </c>
      <c r="K96" t="n">
        <v>18</v>
      </c>
      <c r="L96" s="4" t="n">
        <v>7200579.21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s="7" t="n">
        <v>46082</v>
      </c>
      <c r="B97" t="inlineStr">
        <is>
          <t>TAGG TELESERVICES PRIVATE LIMITED</t>
        </is>
      </c>
      <c r="C97" t="inlineStr">
        <is>
          <t>07AAHCT4293N1ZO</t>
        </is>
      </c>
      <c r="D97" t="inlineStr">
        <is>
          <t>Purchase</t>
        </is>
      </c>
      <c r="E97" t="inlineStr"/>
      <c r="F97" t="inlineStr">
        <is>
          <t>TTSPL20260320</t>
        </is>
      </c>
      <c r="G97" t="inlineStr">
        <is>
          <t>AAHCT4293N_TTSPL20260320</t>
        </is>
      </c>
      <c r="H97" s="7" t="n">
        <v>46112</v>
      </c>
      <c r="I97" s="4" t="n">
        <v>32222.9</v>
      </c>
      <c r="J97" s="4" t="n">
        <v>27307.54</v>
      </c>
      <c r="K97" t="n">
        <v>18</v>
      </c>
      <c r="L97" s="4" t="n">
        <v>4915.36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s="7" t="n">
        <v>46082</v>
      </c>
      <c r="B98" t="inlineStr">
        <is>
          <t>Dove Soft  Ltd (P)</t>
        </is>
      </c>
      <c r="C98" t="inlineStr">
        <is>
          <t>27AADCD9460D1ZO</t>
        </is>
      </c>
      <c r="D98" t="inlineStr">
        <is>
          <t>Purchase</t>
        </is>
      </c>
      <c r="E98" t="inlineStr"/>
      <c r="F98" t="inlineStr">
        <is>
          <t>25-26/3/396</t>
        </is>
      </c>
      <c r="G98" t="inlineStr">
        <is>
          <t>AADCD9460D_25-26/3/396</t>
        </is>
      </c>
      <c r="H98" s="7" t="n">
        <v>46112</v>
      </c>
      <c r="I98" s="4" t="n">
        <v>11800</v>
      </c>
      <c r="J98" s="4" t="n">
        <v>10000</v>
      </c>
      <c r="K98" t="n">
        <v>18</v>
      </c>
      <c r="L98" s="4" t="n">
        <v>0</v>
      </c>
      <c r="M98" s="4" t="n">
        <v>900</v>
      </c>
      <c r="N98" s="4" t="n">
        <v>900</v>
      </c>
      <c r="O98" s="4" t="n">
        <v>0</v>
      </c>
      <c r="P98">
        <f>VLOOKUP(G98,'GST + Invocie No'!$B$5:$Y$183,24,0)</f>
        <v/>
      </c>
    </row>
    <row r="99">
      <c r="A99" s="7" t="n">
        <v>46082</v>
      </c>
      <c r="B99" t="inlineStr">
        <is>
          <t>Genshi Solutions Private Limited</t>
        </is>
      </c>
      <c r="C99" t="inlineStr">
        <is>
          <t>06AAKCG3365R1ZX</t>
        </is>
      </c>
      <c r="D99" t="inlineStr">
        <is>
          <t>Purchase</t>
        </is>
      </c>
      <c r="E99" t="inlineStr"/>
      <c r="F99" t="inlineStr">
        <is>
          <t>RC4546</t>
        </is>
      </c>
      <c r="G99" t="inlineStr">
        <is>
          <t>AAKCG3365R_RC4546</t>
        </is>
      </c>
      <c r="H99" s="7" t="n">
        <v>46112</v>
      </c>
      <c r="I99" s="4" t="n">
        <v>53100</v>
      </c>
      <c r="J99" s="4" t="n">
        <v>45000</v>
      </c>
      <c r="K99" t="n">
        <v>18</v>
      </c>
      <c r="L99" s="4" t="n">
        <v>8100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s="7" t="n">
        <v>46082</v>
      </c>
      <c r="B100" t="inlineStr">
        <is>
          <t>SEVEN OCEANS TELESERVICES PRIVATE LIMITED</t>
        </is>
      </c>
      <c r="C100" t="inlineStr">
        <is>
          <t>27ABDCS7338G1Z4</t>
        </is>
      </c>
      <c r="D100" t="inlineStr">
        <is>
          <t>Purchase</t>
        </is>
      </c>
      <c r="E100" t="inlineStr"/>
      <c r="F100" t="inlineStr">
        <is>
          <t>STPL/25-26/337</t>
        </is>
      </c>
      <c r="G100" t="inlineStr">
        <is>
          <t>ABDCS7338G_STPL/25-26/337</t>
        </is>
      </c>
      <c r="H100" s="7" t="n">
        <v>46112</v>
      </c>
      <c r="I100" s="4" t="n">
        <v>68080.45</v>
      </c>
      <c r="J100" s="4" t="n">
        <v>57695.29</v>
      </c>
      <c r="K100" t="n">
        <v>18</v>
      </c>
      <c r="L100" s="4" t="n">
        <v>0</v>
      </c>
      <c r="M100" s="4" t="n">
        <v>5192.58</v>
      </c>
      <c r="N100" s="4" t="n">
        <v>5192.58</v>
      </c>
      <c r="O100" s="4" t="n">
        <v>0</v>
      </c>
      <c r="P100">
        <f>VLOOKUP(G100,'GST + Invocie No'!$B$5:$Y$183,24,0)</f>
        <v/>
      </c>
    </row>
    <row r="101">
      <c r="A101" s="7" t="n">
        <v>46082</v>
      </c>
      <c r="B101" t="inlineStr">
        <is>
          <t>Mobeep Communications Private Limited</t>
        </is>
      </c>
      <c r="C101" t="inlineStr">
        <is>
          <t>23AAQCM8669N1ZG</t>
        </is>
      </c>
      <c r="D101" t="inlineStr">
        <is>
          <t>Purchase</t>
        </is>
      </c>
      <c r="E101" t="inlineStr"/>
      <c r="F101" t="inlineStr">
        <is>
          <t>MCPL/25-26/73</t>
        </is>
      </c>
      <c r="G101" t="inlineStr">
        <is>
          <t>AAQCM8669N_MCPL/25-26/73</t>
        </is>
      </c>
      <c r="H101" s="7" t="n">
        <v>46112</v>
      </c>
      <c r="I101" s="4" t="n">
        <v>45763.7</v>
      </c>
      <c r="J101" s="4" t="n">
        <v>38782.7</v>
      </c>
      <c r="K101" t="n">
        <v>18</v>
      </c>
      <c r="L101" s="4" t="n">
        <v>6981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s="7" t="n">
        <v>46082</v>
      </c>
      <c r="B102" t="inlineStr">
        <is>
          <t>SMART TECH MESSAGING PRIVATE LIMITED-CR</t>
        </is>
      </c>
      <c r="C102" t="inlineStr">
        <is>
          <t>09ABHCS5775R1Z6</t>
        </is>
      </c>
      <c r="D102" t="inlineStr">
        <is>
          <t>Purchase</t>
        </is>
      </c>
      <c r="E102" t="inlineStr"/>
      <c r="F102" t="inlineStr">
        <is>
          <t>STMPL/25-26/205</t>
        </is>
      </c>
      <c r="G102" t="inlineStr">
        <is>
          <t>ABHCS5775R_STMPL/25-26/205</t>
        </is>
      </c>
      <c r="H102" s="7" t="n">
        <v>46112</v>
      </c>
      <c r="I102" s="4" t="n">
        <v>77197.11</v>
      </c>
      <c r="J102" s="4" t="n">
        <v>65421.28</v>
      </c>
      <c r="K102" t="n">
        <v>18</v>
      </c>
      <c r="L102" s="4" t="n">
        <v>11775.83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s="7" t="n">
        <v>45748</v>
      </c>
      <c r="B103" t="inlineStr">
        <is>
          <t>FACEBOOK INDIA ONLINE SERVICES PRIVATE LIMITED</t>
        </is>
      </c>
      <c r="C103" t="inlineStr">
        <is>
          <t>06AABCF5150G1ZZ</t>
        </is>
      </c>
      <c r="D103" t="inlineStr">
        <is>
          <t>Journal</t>
        </is>
      </c>
      <c r="E103" t="inlineStr"/>
      <c r="F103" t="inlineStr">
        <is>
          <t>ADS406-104287387</t>
        </is>
      </c>
      <c r="G103" t="inlineStr">
        <is>
          <t>AABCF5150G_ADS406-104287387</t>
        </is>
      </c>
      <c r="H103" s="7" t="n">
        <v>45750</v>
      </c>
      <c r="I103" s="4" t="n">
        <v>49.6</v>
      </c>
      <c r="J103" s="4" t="n">
        <v>42.03</v>
      </c>
      <c r="K103" t="n">
        <v>18</v>
      </c>
      <c r="L103" s="4" t="n">
        <v>7.57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s="7" t="n">
        <v>45748</v>
      </c>
      <c r="B104" t="inlineStr">
        <is>
          <t>FACEBOOK INDIA ONLINE SERVICES PRIVATE LIMITED</t>
        </is>
      </c>
      <c r="C104" t="inlineStr">
        <is>
          <t>06AABCF5150G1ZZ</t>
        </is>
      </c>
      <c r="D104" t="inlineStr">
        <is>
          <t>Journal</t>
        </is>
      </c>
      <c r="E104" t="inlineStr"/>
      <c r="F104" t="inlineStr">
        <is>
          <t>ADS406-104290423</t>
        </is>
      </c>
      <c r="G104" t="inlineStr">
        <is>
          <t>AABCF5150G_ADS406-104290423</t>
        </is>
      </c>
      <c r="H104" s="7" t="n">
        <v>45751</v>
      </c>
      <c r="I104" s="4" t="n">
        <v>52.6</v>
      </c>
      <c r="J104" s="4" t="n">
        <v>44.58</v>
      </c>
      <c r="K104" t="n">
        <v>18</v>
      </c>
      <c r="L104" s="4" t="n">
        <v>8.02</v>
      </c>
      <c r="M104" s="4" t="n">
        <v>0</v>
      </c>
      <c r="N104" s="4" t="n">
        <v>0</v>
      </c>
      <c r="O104" s="4" t="n">
        <v>0</v>
      </c>
      <c r="P104">
        <f>VLOOKUP(G104,'GST + Invocie No'!$B$5:$Y$183,24,0)</f>
        <v/>
      </c>
    </row>
    <row r="105">
      <c r="A105" s="7" t="n">
        <v>45748</v>
      </c>
      <c r="B105" t="inlineStr">
        <is>
          <t>FACEBOOK INDIA ONLINE SERVICES PRIVATE LIMITED</t>
        </is>
      </c>
      <c r="C105" t="inlineStr">
        <is>
          <t>06AABCF5150G1ZZ</t>
        </is>
      </c>
      <c r="D105" t="inlineStr">
        <is>
          <t>Journal</t>
        </is>
      </c>
      <c r="E105" t="inlineStr"/>
      <c r="F105" t="inlineStr">
        <is>
          <t>ADS406-104296522</t>
        </is>
      </c>
      <c r="G105" t="inlineStr">
        <is>
          <t>AABCF5150G_ADS406-104296522</t>
        </is>
      </c>
      <c r="H105" s="7" t="n">
        <v>45753</v>
      </c>
      <c r="I105" s="4" t="n">
        <v>47.86</v>
      </c>
      <c r="J105" s="4" t="n">
        <v>40.56</v>
      </c>
      <c r="K105" t="n">
        <v>18</v>
      </c>
      <c r="L105" s="4" t="n">
        <v>7.3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s="7" t="n">
        <v>45748</v>
      </c>
      <c r="B106" t="inlineStr">
        <is>
          <t>FACEBOOK INDIA ONLINE SERVICES PRIVATE LIMITED</t>
        </is>
      </c>
      <c r="C106" t="inlineStr">
        <is>
          <t>06AABCF5150G1ZZ</t>
        </is>
      </c>
      <c r="D106" t="inlineStr">
        <is>
          <t>Journal</t>
        </is>
      </c>
      <c r="E106" t="inlineStr"/>
      <c r="F106" t="inlineStr">
        <is>
          <t>ADS406-104299421</t>
        </is>
      </c>
      <c r="G106" t="inlineStr">
        <is>
          <t>AABCF5150G_ADS406-104299421</t>
        </is>
      </c>
      <c r="H106" s="7" t="n">
        <v>45754</v>
      </c>
      <c r="I106" s="4" t="n">
        <v>53.86</v>
      </c>
      <c r="J106" s="4" t="n">
        <v>45.64</v>
      </c>
      <c r="K106" t="n">
        <v>18</v>
      </c>
      <c r="L106" s="4" t="n">
        <v>8.220000000000001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s="7" t="n">
        <v>45748</v>
      </c>
      <c r="B107" t="inlineStr">
        <is>
          <t>E Trav Tech Private Limited</t>
        </is>
      </c>
      <c r="C107" t="inlineStr">
        <is>
          <t>27AAECR8945A1ZB</t>
        </is>
      </c>
      <c r="D107" t="inlineStr">
        <is>
          <t>Journal</t>
        </is>
      </c>
      <c r="E107" t="inlineStr"/>
      <c r="F107" t="inlineStr">
        <is>
          <t>SH/APR‐25/136</t>
        </is>
      </c>
      <c r="G107" t="inlineStr">
        <is>
          <t>AAECR8945A_SH/APR‐25/136</t>
        </is>
      </c>
      <c r="H107" s="7" t="n">
        <v>45755</v>
      </c>
      <c r="I107" s="4" t="n">
        <v>656.97</v>
      </c>
      <c r="J107" s="4" t="n">
        <v>556.75</v>
      </c>
      <c r="K107" t="n">
        <v>18</v>
      </c>
      <c r="L107" s="4" t="n">
        <v>0</v>
      </c>
      <c r="M107" s="4" t="n">
        <v>50.11</v>
      </c>
      <c r="N107" s="4" t="n">
        <v>50.11</v>
      </c>
      <c r="O107" s="4" t="n">
        <v>0</v>
      </c>
      <c r="P107">
        <f>VLOOKUP(G107,'GST + Invocie No'!$B$5:$Y$183,24,0)</f>
        <v/>
      </c>
    </row>
    <row r="108">
      <c r="A108" s="7" t="n">
        <v>45748</v>
      </c>
      <c r="B108" t="inlineStr">
        <is>
          <t>National Securities Depository Limited-NSDL</t>
        </is>
      </c>
      <c r="C108" t="inlineStr">
        <is>
          <t>27AADCN9802F1ZG</t>
        </is>
      </c>
      <c r="D108" t="inlineStr">
        <is>
          <t>Journal</t>
        </is>
      </c>
      <c r="E108" t="inlineStr"/>
      <c r="F108" t="inlineStr">
        <is>
          <t>UCF/DT0425/56863</t>
        </is>
      </c>
      <c r="G108" t="inlineStr">
        <is>
          <t>AADCN9802F_UCF/DT0425/56863</t>
        </is>
      </c>
      <c r="H108" s="7" t="n">
        <v>45762</v>
      </c>
      <c r="I108" s="4" t="n">
        <v>5900</v>
      </c>
      <c r="J108" s="4" t="n">
        <v>5000</v>
      </c>
      <c r="K108" t="n">
        <v>18</v>
      </c>
      <c r="L108" s="4" t="n">
        <v>0</v>
      </c>
      <c r="M108" s="4" t="n">
        <v>450</v>
      </c>
      <c r="N108" s="4" t="n">
        <v>450</v>
      </c>
      <c r="O108" s="4" t="n">
        <v>0</v>
      </c>
      <c r="P108">
        <f>VLOOKUP(G108,'GST + Invocie No'!$B$5:$Y$183,24,0)</f>
        <v/>
      </c>
    </row>
    <row r="109">
      <c r="A109" s="7" t="n">
        <v>45748</v>
      </c>
      <c r="B109" t="inlineStr">
        <is>
          <t>FACEBOOK INDIA ONLINE SERVICES PRIVATE LIMITED</t>
        </is>
      </c>
      <c r="C109" t="inlineStr">
        <is>
          <t>06AABCF5150G1ZZ</t>
        </is>
      </c>
      <c r="D109" t="inlineStr">
        <is>
          <t>Journal</t>
        </is>
      </c>
      <c r="E109" t="inlineStr"/>
      <c r="F109" t="inlineStr">
        <is>
          <t>ADS406-104334095</t>
        </is>
      </c>
      <c r="G109" t="inlineStr">
        <is>
          <t>AABCF5150G_ADS406-104334095</t>
        </is>
      </c>
      <c r="H109" s="7" t="n">
        <v>45765</v>
      </c>
      <c r="I109" s="4" t="n">
        <v>50.23</v>
      </c>
      <c r="J109" s="4" t="n">
        <v>42.57</v>
      </c>
      <c r="K109" t="n">
        <v>18</v>
      </c>
      <c r="L109" s="4" t="n">
        <v>7.66</v>
      </c>
      <c r="M109" s="4" t="n">
        <v>0</v>
      </c>
      <c r="N109" s="4" t="n">
        <v>0</v>
      </c>
      <c r="O109" s="4" t="n">
        <v>0</v>
      </c>
      <c r="P109">
        <f>VLOOKUP(G109,'GST + Invocie No'!$B$5:$Y$183,24,0)</f>
        <v/>
      </c>
    </row>
    <row r="110">
      <c r="A110" s="7" t="n">
        <v>45748</v>
      </c>
      <c r="B110" t="inlineStr">
        <is>
          <t>FACEBOOK INDIA ONLINE SERVICES PRIVATE LIMITED</t>
        </is>
      </c>
      <c r="C110" t="inlineStr">
        <is>
          <t>06AABCF5150G1ZZ</t>
        </is>
      </c>
      <c r="D110" t="inlineStr">
        <is>
          <t>Journal</t>
        </is>
      </c>
      <c r="E110" t="inlineStr"/>
      <c r="F110" t="inlineStr">
        <is>
          <t>ADS406-104336831</t>
        </is>
      </c>
      <c r="G110" t="inlineStr">
        <is>
          <t>AABCF5150G_ADS406-104336831</t>
        </is>
      </c>
      <c r="H110" s="7" t="n">
        <v>45766</v>
      </c>
      <c r="I110" s="4" t="n">
        <v>50.85</v>
      </c>
      <c r="J110" s="4" t="n">
        <v>43.09</v>
      </c>
      <c r="K110" t="n">
        <v>18</v>
      </c>
      <c r="L110" s="4" t="n">
        <v>7.76</v>
      </c>
      <c r="M110" s="4" t="n">
        <v>0</v>
      </c>
      <c r="N110" s="4" t="n">
        <v>0</v>
      </c>
      <c r="O110" s="4" t="n">
        <v>0</v>
      </c>
      <c r="P110">
        <f>VLOOKUP(G110,'GST + Invocie No'!$B$5:$Y$183,24,0)</f>
        <v/>
      </c>
    </row>
    <row r="111">
      <c r="A111" s="7" t="n">
        <v>45748</v>
      </c>
      <c r="B111" t="inlineStr">
        <is>
          <t>FACEBOOK INDIA ONLINE SERVICES PRIVATE LIMITED</t>
        </is>
      </c>
      <c r="C111" t="inlineStr">
        <is>
          <t>06AABCF5150G1ZZ</t>
        </is>
      </c>
      <c r="D111" t="inlineStr">
        <is>
          <t>Journal</t>
        </is>
      </c>
      <c r="E111" t="inlineStr"/>
      <c r="F111" t="inlineStr">
        <is>
          <t>ADS406-104353979</t>
        </is>
      </c>
      <c r="G111" t="inlineStr">
        <is>
          <t>AABCF5150G_ADS406-104353979</t>
        </is>
      </c>
      <c r="H111" s="7" t="n">
        <v>45772</v>
      </c>
      <c r="I111" s="4" t="n">
        <v>41.76</v>
      </c>
      <c r="J111" s="4" t="n">
        <v>35.39</v>
      </c>
      <c r="K111" t="n">
        <v>18</v>
      </c>
      <c r="L111" s="4" t="n">
        <v>6.37</v>
      </c>
      <c r="M111" s="4" t="n">
        <v>0</v>
      </c>
      <c r="N111" s="4" t="n">
        <v>0</v>
      </c>
      <c r="O111" s="4" t="n">
        <v>0</v>
      </c>
      <c r="P111">
        <f>VLOOKUP(G111,'GST + Invocie No'!$B$5:$Y$183,24,0)</f>
        <v/>
      </c>
    </row>
    <row r="112">
      <c r="A112" s="7" t="n">
        <v>45748</v>
      </c>
      <c r="B112" t="inlineStr">
        <is>
          <t>FACEBOOK INDIA ONLINE SERVICES PRIVATE LIMITED</t>
        </is>
      </c>
      <c r="C112" t="inlineStr">
        <is>
          <t>06AABCF5150G1ZZ</t>
        </is>
      </c>
      <c r="D112" t="inlineStr">
        <is>
          <t>Journal</t>
        </is>
      </c>
      <c r="E112" t="inlineStr"/>
      <c r="F112" t="inlineStr">
        <is>
          <t>ADS406-104356904</t>
        </is>
      </c>
      <c r="G112" t="inlineStr">
        <is>
          <t>AABCF5150G_ADS406-104356904</t>
        </is>
      </c>
      <c r="H112" s="7" t="n">
        <v>45773</v>
      </c>
      <c r="I112" s="4" t="n">
        <v>57.96</v>
      </c>
      <c r="J112" s="4" t="n">
        <v>49.12</v>
      </c>
      <c r="K112" t="n">
        <v>18</v>
      </c>
      <c r="L112" s="4" t="n">
        <v>8.84</v>
      </c>
      <c r="M112" s="4" t="n">
        <v>0</v>
      </c>
      <c r="N112" s="4" t="n">
        <v>0</v>
      </c>
      <c r="O112" s="4" t="n">
        <v>0</v>
      </c>
      <c r="P112">
        <f>VLOOKUP(G112,'GST + Invocie No'!$B$5:$Y$183,24,0)</f>
        <v/>
      </c>
    </row>
    <row r="113">
      <c r="A113" s="7" t="n">
        <v>45748</v>
      </c>
      <c r="B113" t="inlineStr">
        <is>
          <t>FACEBOOK INDIA ONLINE SERVICES PRIVATE LIMITED</t>
        </is>
      </c>
      <c r="C113" t="inlineStr">
        <is>
          <t>06AABCF5150G1ZZ</t>
        </is>
      </c>
      <c r="D113" t="inlineStr">
        <is>
          <t>Journal</t>
        </is>
      </c>
      <c r="E113" t="inlineStr"/>
      <c r="F113" t="inlineStr">
        <is>
          <t>ADS406-104359679</t>
        </is>
      </c>
      <c r="G113" t="inlineStr">
        <is>
          <t>AABCF5150G_ADS406-104359679</t>
        </is>
      </c>
      <c r="H113" s="7" t="n">
        <v>45774</v>
      </c>
      <c r="I113" s="4" t="n">
        <v>0.05</v>
      </c>
      <c r="J113" s="4" t="n">
        <v>0.04</v>
      </c>
      <c r="K113" t="n">
        <v>18</v>
      </c>
      <c r="L113" s="4" t="n">
        <v>0.01</v>
      </c>
      <c r="M113" s="4" t="n">
        <v>0</v>
      </c>
      <c r="N113" s="4" t="n">
        <v>0</v>
      </c>
      <c r="O113" s="4" t="n">
        <v>0</v>
      </c>
      <c r="P113">
        <f>VLOOKUP(G113,'GST + Invocie No'!$B$5:$Y$183,24,0)</f>
        <v/>
      </c>
    </row>
    <row r="114">
      <c r="A114" s="7" t="n">
        <v>45748</v>
      </c>
      <c r="B114" t="inlineStr">
        <is>
          <t>FACEBOOK INDIA ONLINE SERVICES PRIVATE LIMITED</t>
        </is>
      </c>
      <c r="C114" t="inlineStr">
        <is>
          <t>06AABCF5150G1ZZ</t>
        </is>
      </c>
      <c r="D114" t="inlineStr">
        <is>
          <t>Journal</t>
        </is>
      </c>
      <c r="E114" t="inlineStr"/>
      <c r="F114" t="inlineStr">
        <is>
          <t>ADS406-104368307</t>
        </is>
      </c>
      <c r="G114" t="inlineStr">
        <is>
          <t>AABCF5150G_ADS406-104368307</t>
        </is>
      </c>
      <c r="H114" s="7" t="n">
        <v>45777</v>
      </c>
      <c r="I114" s="4" t="n">
        <v>47.48</v>
      </c>
      <c r="J114" s="4" t="n">
        <v>40.24</v>
      </c>
      <c r="K114" t="n">
        <v>18</v>
      </c>
      <c r="L114" s="4" t="n">
        <v>7.24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s="7" t="n">
        <v>45748</v>
      </c>
      <c r="B115" t="inlineStr">
        <is>
          <t>FACEBOOK INDIA ONLINE SERVICES PRIVATE LIMITED</t>
        </is>
      </c>
      <c r="C115" t="inlineStr">
        <is>
          <t>06AABCF5150G1ZZ</t>
        </is>
      </c>
      <c r="D115" t="inlineStr">
        <is>
          <t>Journal</t>
        </is>
      </c>
      <c r="E115" t="inlineStr"/>
      <c r="F115" t="inlineStr">
        <is>
          <t>ADS406-104371660</t>
        </is>
      </c>
      <c r="G115" t="inlineStr">
        <is>
          <t>AABCF5150G_ADS406-104371660</t>
        </is>
      </c>
      <c r="H115" s="7" t="n">
        <v>45777</v>
      </c>
      <c r="I115" s="4" t="n">
        <v>52.66</v>
      </c>
      <c r="J115" s="4" t="n">
        <v>44.63</v>
      </c>
      <c r="K115" t="n">
        <v>18</v>
      </c>
      <c r="L115" s="4" t="n">
        <v>8.029999999999999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s="7" t="n">
        <v>45778</v>
      </c>
      <c r="B116" t="inlineStr">
        <is>
          <t>E Trav Tech Private Limited</t>
        </is>
      </c>
      <c r="C116" t="inlineStr">
        <is>
          <t>27AAECR8945A1ZB</t>
        </is>
      </c>
      <c r="D116" t="inlineStr">
        <is>
          <t>Journal</t>
        </is>
      </c>
      <c r="E116" t="inlineStr"/>
      <c r="F116" t="inlineStr">
        <is>
          <t>SH/MAY‐25/53</t>
        </is>
      </c>
      <c r="G116" t="inlineStr">
        <is>
          <t>AAECR8945A_SH/MAY‐25/53</t>
        </is>
      </c>
      <c r="H116" s="7" t="n">
        <v>45762</v>
      </c>
      <c r="I116" s="4" t="n">
        <v>4756.55</v>
      </c>
      <c r="J116" s="4" t="n">
        <v>4030.97</v>
      </c>
      <c r="K116" t="n">
        <v>18</v>
      </c>
      <c r="L116" s="4" t="n">
        <v>0</v>
      </c>
      <c r="M116" s="4" t="n">
        <v>362.79</v>
      </c>
      <c r="N116" s="4" t="n">
        <v>362.79</v>
      </c>
      <c r="O116" s="4" t="n">
        <v>0</v>
      </c>
      <c r="P116">
        <f>VLOOKUP(G116,'GST + Invocie No'!$B$5:$Y$183,24,0)</f>
        <v/>
      </c>
    </row>
    <row r="117">
      <c r="A117" s="7" t="n">
        <v>45778</v>
      </c>
      <c r="B117" t="inlineStr">
        <is>
          <t>E Trav Tech Private Limited</t>
        </is>
      </c>
      <c r="C117" t="inlineStr">
        <is>
          <t>27AAECR8945A1ZB</t>
        </is>
      </c>
      <c r="D117" t="inlineStr">
        <is>
          <t>Journal</t>
        </is>
      </c>
      <c r="E117" t="inlineStr"/>
      <c r="F117" t="inlineStr">
        <is>
          <t>SH/MAY‐25/45</t>
        </is>
      </c>
      <c r="G117" t="inlineStr">
        <is>
          <t>AAECR8945A_SH/MAY‐25/45</t>
        </is>
      </c>
      <c r="H117" s="7" t="n">
        <v>45764</v>
      </c>
      <c r="I117" s="4" t="n">
        <v>481.21</v>
      </c>
      <c r="J117" s="4" t="n">
        <v>407.81</v>
      </c>
      <c r="K117" t="n">
        <v>18</v>
      </c>
      <c r="L117" s="4" t="n">
        <v>0</v>
      </c>
      <c r="M117" s="4" t="n">
        <v>36.7</v>
      </c>
      <c r="N117" s="4" t="n">
        <v>36.7</v>
      </c>
      <c r="O117" s="4" t="n">
        <v>0</v>
      </c>
      <c r="P117">
        <f>VLOOKUP(G117,'GST + Invocie No'!$B$5:$Y$183,24,0)</f>
        <v/>
      </c>
    </row>
    <row r="118">
      <c r="A118" s="7" t="n">
        <v>45778</v>
      </c>
      <c r="B118" t="inlineStr">
        <is>
          <t>FACEBOOK INDIA ONLINE SERVICES PRIVATE LIMITED</t>
        </is>
      </c>
      <c r="C118" t="inlineStr">
        <is>
          <t>06AABCF5150G1ZZ</t>
        </is>
      </c>
      <c r="D118" t="inlineStr">
        <is>
          <t>Journal</t>
        </is>
      </c>
      <c r="E118" t="inlineStr"/>
      <c r="F118" t="inlineStr">
        <is>
          <t>ADS406-104380265</t>
        </is>
      </c>
      <c r="G118" t="inlineStr">
        <is>
          <t>AABCF5150G_ADS406-104380265</t>
        </is>
      </c>
      <c r="H118" s="7" t="n">
        <v>45781</v>
      </c>
      <c r="I118" s="4" t="n">
        <v>48.16</v>
      </c>
      <c r="J118" s="4" t="n">
        <v>40.81</v>
      </c>
      <c r="K118" t="n">
        <v>18</v>
      </c>
      <c r="L118" s="4" t="n">
        <v>7.35</v>
      </c>
      <c r="M118" s="4" t="n">
        <v>0</v>
      </c>
      <c r="N118" s="4" t="n">
        <v>0</v>
      </c>
      <c r="O118" s="4" t="n">
        <v>0</v>
      </c>
      <c r="P118">
        <f>VLOOKUP(G118,'GST + Invocie No'!$B$5:$Y$183,24,0)</f>
        <v/>
      </c>
    </row>
    <row r="119">
      <c r="A119" s="7" t="n">
        <v>45778</v>
      </c>
      <c r="B119" t="inlineStr">
        <is>
          <t>FACEBOOK INDIA ONLINE SERVICES PRIVATE LIMITED</t>
        </is>
      </c>
      <c r="C119" t="inlineStr">
        <is>
          <t>06AABCF5150G1ZZ</t>
        </is>
      </c>
      <c r="D119" t="inlineStr">
        <is>
          <t>Journal</t>
        </is>
      </c>
      <c r="E119" t="inlineStr"/>
      <c r="F119" t="inlineStr">
        <is>
          <t>ADS406-104383153</t>
        </is>
      </c>
      <c r="G119" t="inlineStr">
        <is>
          <t>AABCF5150G_ADS406-104383153</t>
        </is>
      </c>
      <c r="H119" s="7" t="n">
        <v>45782</v>
      </c>
      <c r="I119" s="4" t="n">
        <v>52.32</v>
      </c>
      <c r="J119" s="4" t="n">
        <v>44.34</v>
      </c>
      <c r="K119" t="n">
        <v>18</v>
      </c>
      <c r="L119" s="4" t="n">
        <v>7.98</v>
      </c>
      <c r="M119" s="4" t="n">
        <v>0</v>
      </c>
      <c r="N119" s="4" t="n">
        <v>0</v>
      </c>
      <c r="O119" s="4" t="n">
        <v>0</v>
      </c>
      <c r="P119">
        <f>VLOOKUP(G119,'GST + Invocie No'!$B$5:$Y$183,24,0)</f>
        <v/>
      </c>
    </row>
    <row r="120">
      <c r="A120" s="7" t="n">
        <v>45778</v>
      </c>
      <c r="B120" t="inlineStr">
        <is>
          <t>FACEBOOK INDIA ONLINE SERVICES PRIVATE LIMITED</t>
        </is>
      </c>
      <c r="C120" t="inlineStr">
        <is>
          <t>06AABCF5150G1ZZ</t>
        </is>
      </c>
      <c r="D120" t="inlineStr">
        <is>
          <t>Journal</t>
        </is>
      </c>
      <c r="E120" t="inlineStr"/>
      <c r="F120" t="inlineStr">
        <is>
          <t>ADS406-104399344</t>
        </is>
      </c>
      <c r="G120" t="inlineStr">
        <is>
          <t>AABCF5150G_ADS406-104399344</t>
        </is>
      </c>
      <c r="H120" s="7" t="n">
        <v>45787</v>
      </c>
      <c r="I120" s="4" t="n">
        <v>-19.3</v>
      </c>
      <c r="J120" s="4" t="n">
        <v>-16.36</v>
      </c>
      <c r="K120" t="n">
        <v>18</v>
      </c>
      <c r="L120" s="4" t="n">
        <v>-2.94</v>
      </c>
      <c r="M120" s="4" t="n">
        <v>0</v>
      </c>
      <c r="N120" s="4" t="n">
        <v>0</v>
      </c>
      <c r="O120" s="4" t="n">
        <v>0</v>
      </c>
      <c r="P120">
        <f>VLOOKUP(G120,'GST + Invocie No'!$B$5:$Y$183,24,0)</f>
        <v/>
      </c>
    </row>
    <row r="121">
      <c r="A121" s="7" t="n">
        <v>45778</v>
      </c>
      <c r="B121" t="inlineStr">
        <is>
          <t>Mathia &amp; Co.</t>
        </is>
      </c>
      <c r="C121" t="inlineStr">
        <is>
          <t>27AAWFM3818Q1Z9</t>
        </is>
      </c>
      <c r="D121" t="inlineStr">
        <is>
          <t>Journal</t>
        </is>
      </c>
      <c r="E121" t="inlineStr"/>
      <c r="F121" t="inlineStr">
        <is>
          <t>MCO25-26794</t>
        </is>
      </c>
      <c r="G121" t="inlineStr">
        <is>
          <t>AAWFM3818Q_MCO25-26794</t>
        </is>
      </c>
      <c r="H121" s="7" t="n">
        <v>45797</v>
      </c>
      <c r="I121" s="4" t="n">
        <v>39826</v>
      </c>
      <c r="J121" s="4" t="n">
        <v>33750</v>
      </c>
      <c r="K121" t="n">
        <v>18</v>
      </c>
      <c r="L121" s="4" t="n">
        <v>0</v>
      </c>
      <c r="M121" s="4" t="n">
        <v>3038</v>
      </c>
      <c r="N121" s="4" t="n">
        <v>3038</v>
      </c>
      <c r="O121" s="4" t="n">
        <v>0</v>
      </c>
      <c r="P121">
        <f>VLOOKUP(G121,'GST + Invocie No'!$B$5:$Y$183,24,0)</f>
        <v/>
      </c>
    </row>
    <row r="122">
      <c r="A122" s="7" t="n">
        <v>45778</v>
      </c>
      <c r="B122" t="inlineStr">
        <is>
          <t>FACEBOOK INDIA ONLINE SERVICES PRIVATE LIMITED</t>
        </is>
      </c>
      <c r="C122" t="inlineStr">
        <is>
          <t>06AABCF5150G1ZZ</t>
        </is>
      </c>
      <c r="D122" t="inlineStr">
        <is>
          <t>Journal</t>
        </is>
      </c>
      <c r="E122" t="inlineStr"/>
      <c r="F122" t="inlineStr">
        <is>
          <t>ADS406-104435085</t>
        </is>
      </c>
      <c r="G122" t="inlineStr">
        <is>
          <t>AABCF5150G_ADS406-104435085</t>
        </is>
      </c>
      <c r="H122" s="7" t="n">
        <v>45798</v>
      </c>
      <c r="I122" s="4" t="n">
        <v>8.74</v>
      </c>
      <c r="J122" s="4" t="n">
        <v>7.41</v>
      </c>
      <c r="K122" t="n">
        <v>18</v>
      </c>
      <c r="L122" s="4" t="n">
        <v>1.33</v>
      </c>
      <c r="M122" s="4" t="n">
        <v>0</v>
      </c>
      <c r="N122" s="4" t="n">
        <v>0</v>
      </c>
      <c r="O122" s="4" t="n">
        <v>0</v>
      </c>
      <c r="P122">
        <f>VLOOKUP(G122,'GST + Invocie No'!$B$5:$Y$183,24,0)</f>
        <v/>
      </c>
    </row>
    <row r="123">
      <c r="A123" s="7" t="n">
        <v>45778</v>
      </c>
      <c r="B123" t="inlineStr">
        <is>
          <t>FACEBOOK INDIA ONLINE SERVICES PRIVATE LIMITED</t>
        </is>
      </c>
      <c r="C123" t="inlineStr">
        <is>
          <t>06AABCF5150G1ZZ</t>
        </is>
      </c>
      <c r="D123" t="inlineStr">
        <is>
          <t>Journal</t>
        </is>
      </c>
      <c r="E123" t="inlineStr"/>
      <c r="F123" t="inlineStr">
        <is>
          <t>ADS406-104438440</t>
        </is>
      </c>
      <c r="G123" t="inlineStr">
        <is>
          <t>AABCF5150G_ADS406-104438440</t>
        </is>
      </c>
      <c r="H123" s="7" t="n">
        <v>45799</v>
      </c>
      <c r="I123" s="4" t="n">
        <v>69.89</v>
      </c>
      <c r="J123" s="4" t="n">
        <v>59.23</v>
      </c>
      <c r="K123" t="n">
        <v>18</v>
      </c>
      <c r="L123" s="4" t="n">
        <v>10.66</v>
      </c>
      <c r="M123" s="4" t="n">
        <v>0</v>
      </c>
      <c r="N123" s="4" t="n">
        <v>0</v>
      </c>
      <c r="O123" s="4" t="n">
        <v>0</v>
      </c>
      <c r="P123">
        <f>VLOOKUP(G123,'GST + Invocie No'!$B$5:$Y$183,24,0)</f>
        <v/>
      </c>
    </row>
    <row r="124">
      <c r="A124" s="7" t="n">
        <v>45778</v>
      </c>
      <c r="B124" t="inlineStr">
        <is>
          <t>Vandan  Infotech</t>
        </is>
      </c>
      <c r="C124" t="inlineStr">
        <is>
          <t>27AABPV6272G1ZF</t>
        </is>
      </c>
      <c r="D124" t="inlineStr">
        <is>
          <t>Journal</t>
        </is>
      </c>
      <c r="E124" t="inlineStr"/>
      <c r="F124" t="inlineStr">
        <is>
          <t>SER/25-26/05/05</t>
        </is>
      </c>
      <c r="G124" t="inlineStr">
        <is>
          <t>AABPV6272G_SER/25-26/05/05</t>
        </is>
      </c>
      <c r="H124" s="7" t="n">
        <v>45803</v>
      </c>
      <c r="I124" s="4" t="n">
        <v>9558</v>
      </c>
      <c r="J124" s="4" t="n">
        <v>8100</v>
      </c>
      <c r="K124" t="n">
        <v>18</v>
      </c>
      <c r="L124" s="4" t="n">
        <v>0</v>
      </c>
      <c r="M124" s="4" t="n">
        <v>729</v>
      </c>
      <c r="N124" s="4" t="n">
        <v>729</v>
      </c>
      <c r="O124" s="4" t="n">
        <v>0</v>
      </c>
      <c r="P124">
        <f>VLOOKUP(G124,'GST + Invocie No'!$B$5:$Y$183,24,0)</f>
        <v/>
      </c>
    </row>
    <row r="125">
      <c r="A125" s="7" t="n">
        <v>45778</v>
      </c>
      <c r="B125" t="inlineStr">
        <is>
          <t>E Trav Tech Private Limited</t>
        </is>
      </c>
      <c r="C125" t="inlineStr">
        <is>
          <t>27AAECR8945A1ZB</t>
        </is>
      </c>
      <c r="D125" t="inlineStr">
        <is>
          <t>Journal</t>
        </is>
      </c>
      <c r="E125" t="inlineStr"/>
      <c r="F125" t="inlineStr">
        <is>
          <t>SH/MAY‐25/171</t>
        </is>
      </c>
      <c r="G125" t="inlineStr">
        <is>
          <t>AAECR8945A_SH/MAY‐25/171</t>
        </is>
      </c>
      <c r="H125" s="7" t="n">
        <v>45779</v>
      </c>
      <c r="I125" s="4" t="n">
        <v>319.21</v>
      </c>
      <c r="J125" s="4" t="n">
        <v>270.51</v>
      </c>
      <c r="K125" t="n">
        <v>18</v>
      </c>
      <c r="L125" s="4" t="n">
        <v>0</v>
      </c>
      <c r="M125" s="4" t="n">
        <v>24.35</v>
      </c>
      <c r="N125" s="4" t="n">
        <v>24.35</v>
      </c>
      <c r="O125" s="4" t="n">
        <v>0</v>
      </c>
      <c r="P125">
        <f>VLOOKUP(G125,'GST + Invocie No'!$B$5:$Y$183,24,0)</f>
        <v/>
      </c>
    </row>
    <row r="126">
      <c r="A126" s="7" t="n">
        <v>45809</v>
      </c>
      <c r="B126" t="inlineStr">
        <is>
          <t>FACEBOOK INDIA ONLINE SERVICES PRIVATE LIMITED</t>
        </is>
      </c>
      <c r="C126" t="inlineStr">
        <is>
          <t>06AABCF5150G1ZZ</t>
        </is>
      </c>
      <c r="D126" t="inlineStr">
        <is>
          <t>Journal</t>
        </is>
      </c>
      <c r="E126" t="inlineStr"/>
      <c r="F126" t="inlineStr">
        <is>
          <t>ADS406-104485890</t>
        </is>
      </c>
      <c r="G126" t="inlineStr">
        <is>
          <t>AABCF5150G_ADS406-104485890</t>
        </is>
      </c>
      <c r="H126" s="7" t="n">
        <v>45812</v>
      </c>
      <c r="I126" s="4" t="n">
        <v>46.4</v>
      </c>
      <c r="J126" s="4" t="n">
        <v>39.32</v>
      </c>
      <c r="K126" t="n">
        <v>18</v>
      </c>
      <c r="L126" s="4" t="n">
        <v>7.08</v>
      </c>
      <c r="M126" s="4" t="n">
        <v>0</v>
      </c>
      <c r="N126" s="4" t="n">
        <v>0</v>
      </c>
      <c r="O126" s="4" t="n">
        <v>0</v>
      </c>
      <c r="P126">
        <f>VLOOKUP(G126,'GST + Invocie No'!$B$5:$Y$183,24,0)</f>
        <v/>
      </c>
    </row>
    <row r="127">
      <c r="A127" s="7" t="n">
        <v>45809</v>
      </c>
      <c r="B127" t="inlineStr">
        <is>
          <t>FACEBOOK INDIA ONLINE SERVICES PRIVATE LIMITED</t>
        </is>
      </c>
      <c r="C127" t="inlineStr">
        <is>
          <t>06AABCF5150G1ZZ</t>
        </is>
      </c>
      <c r="D127" t="inlineStr">
        <is>
          <t>Journal</t>
        </is>
      </c>
      <c r="E127" t="inlineStr"/>
      <c r="F127" t="inlineStr">
        <is>
          <t>ADS406-104489154</t>
        </is>
      </c>
      <c r="G127" t="inlineStr">
        <is>
          <t>AABCF5150G_ADS406-104489154</t>
        </is>
      </c>
      <c r="H127" s="7" t="n">
        <v>45813</v>
      </c>
      <c r="I127" s="4" t="n">
        <v>55.08</v>
      </c>
      <c r="J127" s="4" t="n">
        <v>46.68</v>
      </c>
      <c r="K127" t="n">
        <v>18</v>
      </c>
      <c r="L127" s="4" t="n">
        <v>8.4</v>
      </c>
      <c r="M127" s="4" t="n">
        <v>0</v>
      </c>
      <c r="N127" s="4" t="n">
        <v>0</v>
      </c>
      <c r="O127" s="4" t="n">
        <v>0</v>
      </c>
      <c r="P127">
        <f>VLOOKUP(G127,'GST + Invocie No'!$B$5:$Y$183,24,0)</f>
        <v/>
      </c>
    </row>
    <row r="128">
      <c r="A128" s="7" t="n">
        <v>45809</v>
      </c>
      <c r="B128" t="inlineStr">
        <is>
          <t>Mathia &amp; Co.</t>
        </is>
      </c>
      <c r="C128" t="inlineStr">
        <is>
          <t>27AAWFM3818Q1Z9</t>
        </is>
      </c>
      <c r="D128" t="inlineStr">
        <is>
          <t>Journal</t>
        </is>
      </c>
      <c r="E128" t="inlineStr"/>
      <c r="F128" t="inlineStr">
        <is>
          <t>MCO2526838</t>
        </is>
      </c>
      <c r="G128" t="inlineStr">
        <is>
          <t>AAWFM3818Q_MCO2526838</t>
        </is>
      </c>
      <c r="H128" s="7" t="n">
        <v>45820</v>
      </c>
      <c r="I128" s="4" t="n">
        <v>39826</v>
      </c>
      <c r="J128" s="4" t="n">
        <v>33750</v>
      </c>
      <c r="K128" t="n">
        <v>18</v>
      </c>
      <c r="L128" s="4" t="n">
        <v>0</v>
      </c>
      <c r="M128" s="4" t="n">
        <v>3038</v>
      </c>
      <c r="N128" s="4" t="n">
        <v>3038</v>
      </c>
      <c r="O128" s="4" t="n">
        <v>0</v>
      </c>
      <c r="P128">
        <f>VLOOKUP(G128,'GST + Invocie No'!$B$5:$Y$183,24,0)</f>
        <v/>
      </c>
    </row>
    <row r="129">
      <c r="A129" s="7" t="n">
        <v>45809</v>
      </c>
      <c r="B129" t="inlineStr">
        <is>
          <t>Jinesh Enterprises</t>
        </is>
      </c>
      <c r="C129" t="inlineStr">
        <is>
          <t>27AANFJ4391E1Z4</t>
        </is>
      </c>
      <c r="D129" t="inlineStr">
        <is>
          <t>Journal</t>
        </is>
      </c>
      <c r="E129" t="inlineStr"/>
      <c r="F129" t="inlineStr">
        <is>
          <t>J/25-26/660</t>
        </is>
      </c>
      <c r="G129" t="inlineStr">
        <is>
          <t>AANFJ4391E_J/25-26/660</t>
        </is>
      </c>
      <c r="H129" s="7" t="n">
        <v>45827</v>
      </c>
      <c r="I129" s="4" t="n">
        <v>8496</v>
      </c>
      <c r="J129" s="4" t="n">
        <v>7200</v>
      </c>
      <c r="K129" t="n">
        <v>18</v>
      </c>
      <c r="L129" s="4" t="n">
        <v>0</v>
      </c>
      <c r="M129" s="4" t="n">
        <v>648</v>
      </c>
      <c r="N129" s="4" t="n">
        <v>648</v>
      </c>
      <c r="O129" s="4" t="n">
        <v>0</v>
      </c>
      <c r="P129">
        <f>VLOOKUP(G129,'GST + Invocie No'!$B$5:$Y$183,24,0)</f>
        <v/>
      </c>
    </row>
    <row r="130">
      <c r="A130" s="7" t="n">
        <v>45839</v>
      </c>
      <c r="B130" t="inlineStr">
        <is>
          <t>Mathia &amp; Co.</t>
        </is>
      </c>
      <c r="C130" t="inlineStr">
        <is>
          <t>27AAWFM3818Q1Z9</t>
        </is>
      </c>
      <c r="D130" t="inlineStr">
        <is>
          <t>Journal</t>
        </is>
      </c>
      <c r="E130" t="inlineStr"/>
      <c r="F130" t="inlineStr">
        <is>
          <t>MCO2526856</t>
        </is>
      </c>
      <c r="G130" t="inlineStr">
        <is>
          <t>AAWFM3818Q_MCO2526856</t>
        </is>
      </c>
      <c r="H130" s="7" t="n">
        <v>45842</v>
      </c>
      <c r="I130" s="4" t="n">
        <v>39826</v>
      </c>
      <c r="J130" s="4" t="n">
        <v>33750</v>
      </c>
      <c r="K130" t="n">
        <v>18</v>
      </c>
      <c r="L130" s="4" t="n">
        <v>0</v>
      </c>
      <c r="M130" s="4" t="n">
        <v>3038</v>
      </c>
      <c r="N130" s="4" t="n">
        <v>3038</v>
      </c>
      <c r="O130" s="4" t="n">
        <v>0</v>
      </c>
      <c r="P130">
        <f>VLOOKUP(G130,'GST + Invocie No'!$B$5:$Y$183,24,0)</f>
        <v/>
      </c>
    </row>
    <row r="131">
      <c r="A131" s="7" t="n">
        <v>45870</v>
      </c>
      <c r="B131" t="inlineStr">
        <is>
          <t>Mathia &amp; Co.</t>
        </is>
      </c>
      <c r="C131" t="inlineStr">
        <is>
          <t>27AAWFM3818Q1Z9</t>
        </is>
      </c>
      <c r="D131" t="inlineStr">
        <is>
          <t>Journal</t>
        </is>
      </c>
      <c r="E131" t="inlineStr"/>
      <c r="F131" t="inlineStr">
        <is>
          <t>MCO2526876</t>
        </is>
      </c>
      <c r="G131" t="inlineStr">
        <is>
          <t>AAWFM3818Q_MCO2526876</t>
        </is>
      </c>
      <c r="H131" s="7" t="n">
        <v>45870</v>
      </c>
      <c r="I131" s="4" t="n">
        <v>39826</v>
      </c>
      <c r="J131" s="4" t="n">
        <v>33750</v>
      </c>
      <c r="K131" t="n">
        <v>18</v>
      </c>
      <c r="L131" s="4" t="n">
        <v>0</v>
      </c>
      <c r="M131" s="4" t="n">
        <v>3038</v>
      </c>
      <c r="N131" s="4" t="n">
        <v>3038</v>
      </c>
      <c r="O131" s="4" t="n">
        <v>0</v>
      </c>
      <c r="P131">
        <f>VLOOKUP(G131,'GST + Invocie No'!$B$5:$Y$183,24,0)</f>
        <v/>
      </c>
    </row>
    <row r="132">
      <c r="A132" s="7" t="n">
        <v>45870</v>
      </c>
      <c r="B132" t="inlineStr">
        <is>
          <t>PURVA SHAREGISTRY (INDIA) PVT. LTD.</t>
        </is>
      </c>
      <c r="C132" t="inlineStr">
        <is>
          <t>27AAACP4924D1ZO</t>
        </is>
      </c>
      <c r="D132" t="inlineStr">
        <is>
          <t>Journal</t>
        </is>
      </c>
      <c r="E132" t="inlineStr"/>
      <c r="F132" t="inlineStr">
        <is>
          <t>2025-26/2721</t>
        </is>
      </c>
      <c r="G132" t="inlineStr">
        <is>
          <t>AAACP4924D_2025-26/2721</t>
        </is>
      </c>
      <c r="H132" s="7" t="n">
        <v>45883</v>
      </c>
      <c r="I132" s="4" t="n">
        <v>9832.940000000001</v>
      </c>
      <c r="J132" s="4" t="n">
        <v>8333</v>
      </c>
      <c r="K132" t="n">
        <v>18</v>
      </c>
      <c r="L132" s="4" t="n">
        <v>0</v>
      </c>
      <c r="M132" s="4" t="n">
        <v>749.97</v>
      </c>
      <c r="N132" s="4" t="n">
        <v>749.97</v>
      </c>
      <c r="O132" s="4" t="n">
        <v>0</v>
      </c>
      <c r="P132">
        <f>VLOOKUP(G132,'GST + Invocie No'!$B$5:$Y$183,24,0)</f>
        <v/>
      </c>
    </row>
    <row r="133">
      <c r="A133" s="7" t="n">
        <v>45901</v>
      </c>
      <c r="B133" t="inlineStr">
        <is>
          <t>CENTRAL DEPOSITORY SERVICES (INDIA) LIMITED</t>
        </is>
      </c>
      <c r="C133" t="inlineStr">
        <is>
          <t>27AAACC6233A1Z9</t>
        </is>
      </c>
      <c r="D133" t="inlineStr">
        <is>
          <t>Journal</t>
        </is>
      </c>
      <c r="E133" t="inlineStr"/>
      <c r="F133" t="inlineStr">
        <is>
          <t>420252026120907</t>
        </is>
      </c>
      <c r="G133" t="inlineStr">
        <is>
          <t>AAACC6233A_420252026120907</t>
        </is>
      </c>
      <c r="H133" s="7" t="n">
        <v>45930</v>
      </c>
      <c r="I133" s="4" t="n">
        <v>21141.67</v>
      </c>
      <c r="J133" s="4" t="n">
        <v>17916.67</v>
      </c>
      <c r="K133" t="n">
        <v>18</v>
      </c>
      <c r="L133" s="4" t="n">
        <v>0</v>
      </c>
      <c r="M133" s="4" t="n">
        <v>1612.5</v>
      </c>
      <c r="N133" s="4" t="n">
        <v>1612.5</v>
      </c>
      <c r="O133" s="4" t="n">
        <v>0</v>
      </c>
      <c r="P133">
        <f>VLOOKUP(G133,'GST + Invocie No'!$B$5:$Y$183,24,0)</f>
        <v/>
      </c>
    </row>
    <row r="134">
      <c r="A134" s="7" t="n">
        <v>45931</v>
      </c>
      <c r="B134" t="inlineStr">
        <is>
          <t>Mathia &amp; Co.</t>
        </is>
      </c>
      <c r="C134" t="inlineStr">
        <is>
          <t>27AAWFM3818Q1Z9</t>
        </is>
      </c>
      <c r="D134" t="inlineStr">
        <is>
          <t>Journal</t>
        </is>
      </c>
      <c r="E134" t="inlineStr"/>
      <c r="F134" t="inlineStr">
        <is>
          <t>MCO2526965</t>
        </is>
      </c>
      <c r="G134" t="inlineStr">
        <is>
          <t>AAWFM3818Q_MCO2526965</t>
        </is>
      </c>
      <c r="H134" s="7" t="n">
        <v>45933</v>
      </c>
      <c r="I134" s="4" t="n">
        <v>39826</v>
      </c>
      <c r="J134" s="4" t="n">
        <v>33750</v>
      </c>
      <c r="K134" t="n">
        <v>18</v>
      </c>
      <c r="L134" s="4" t="n">
        <v>0</v>
      </c>
      <c r="M134" s="4" t="n">
        <v>3038</v>
      </c>
      <c r="N134" s="4" t="n">
        <v>3038</v>
      </c>
      <c r="O134" s="4" t="n">
        <v>0</v>
      </c>
      <c r="P134">
        <f>VLOOKUP(G134,'GST + Invocie No'!$B$5:$Y$183,24,0)</f>
        <v/>
      </c>
    </row>
    <row r="135">
      <c r="A135" s="7" t="n">
        <v>45962</v>
      </c>
      <c r="B135" t="inlineStr">
        <is>
          <t>Mathia &amp; Co.</t>
        </is>
      </c>
      <c r="C135" t="inlineStr">
        <is>
          <t>27AAWFM3818Q1Z9</t>
        </is>
      </c>
      <c r="D135" t="inlineStr">
        <is>
          <t>Journal</t>
        </is>
      </c>
      <c r="E135" t="inlineStr"/>
      <c r="F135" t="inlineStr">
        <is>
          <t>MCO25261017</t>
        </is>
      </c>
      <c r="G135" t="inlineStr">
        <is>
          <t>AAWFM3818Q_MCO25261017</t>
        </is>
      </c>
      <c r="H135" s="7" t="n">
        <v>45964</v>
      </c>
      <c r="I135" s="4" t="n">
        <v>39825</v>
      </c>
      <c r="J135" s="4" t="n">
        <v>33750</v>
      </c>
      <c r="K135" t="n">
        <v>18</v>
      </c>
      <c r="L135" s="4" t="n">
        <v>0</v>
      </c>
      <c r="M135" s="4" t="n">
        <v>3037.5</v>
      </c>
      <c r="N135" s="4" t="n">
        <v>3037.5</v>
      </c>
      <c r="O135" s="4" t="n">
        <v>0</v>
      </c>
      <c r="P135">
        <f>VLOOKUP(G135,'GST + Invocie No'!$B$5:$Y$183,24,0)</f>
        <v/>
      </c>
    </row>
    <row r="136">
      <c r="A136" s="7" t="n">
        <v>45992</v>
      </c>
      <c r="B136" t="inlineStr">
        <is>
          <t>Rootcause Technology Private Limited</t>
        </is>
      </c>
      <c r="C136" t="inlineStr">
        <is>
          <t>24AALCR1836M1Z1</t>
        </is>
      </c>
      <c r="D136" t="inlineStr">
        <is>
          <t>Journal</t>
        </is>
      </c>
      <c r="E136" t="inlineStr"/>
      <c r="F136" t="inlineStr">
        <is>
          <t>INV-R000390</t>
        </is>
      </c>
      <c r="G136" t="inlineStr">
        <is>
          <t>AALCR1836M_INV-R000390</t>
        </is>
      </c>
      <c r="H136" s="7" t="n">
        <v>45978</v>
      </c>
      <c r="I136" s="4" t="n">
        <v>69599.94</v>
      </c>
      <c r="J136" s="4" t="n">
        <v>58983</v>
      </c>
      <c r="K136" t="n">
        <v>18</v>
      </c>
      <c r="L136" s="4" t="n">
        <v>10616.94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s="7" t="n">
        <v>45992</v>
      </c>
      <c r="B137" t="inlineStr">
        <is>
          <t>Mathia &amp; Co.</t>
        </is>
      </c>
      <c r="C137" t="inlineStr">
        <is>
          <t>27AAWFM3818Q1Z9</t>
        </is>
      </c>
      <c r="D137" t="inlineStr">
        <is>
          <t>Journal</t>
        </is>
      </c>
      <c r="E137" t="inlineStr"/>
      <c r="F137" t="inlineStr">
        <is>
          <t>MCO25261055</t>
        </is>
      </c>
      <c r="G137" t="inlineStr">
        <is>
          <t>AAWFM3818Q_MCO25261055</t>
        </is>
      </c>
      <c r="H137" s="7" t="n">
        <v>45994</v>
      </c>
      <c r="I137" s="4" t="n">
        <v>39825</v>
      </c>
      <c r="J137" s="4" t="n">
        <v>33750</v>
      </c>
      <c r="K137" t="n">
        <v>18</v>
      </c>
      <c r="L137" s="4" t="n">
        <v>0</v>
      </c>
      <c r="M137" s="4" t="n">
        <v>3037.5</v>
      </c>
      <c r="N137" s="4" t="n">
        <v>3037.5</v>
      </c>
      <c r="O137" s="4" t="n">
        <v>0</v>
      </c>
      <c r="P137">
        <f>VLOOKUP(G137,'GST + Invocie No'!$B$5:$Y$183,24,0)</f>
        <v/>
      </c>
    </row>
    <row r="138">
      <c r="A138" s="7" t="n">
        <v>46023</v>
      </c>
      <c r="B138" t="inlineStr">
        <is>
          <t>Mathia &amp; Co.</t>
        </is>
      </c>
      <c r="C138" t="inlineStr">
        <is>
          <t>27AAWFM3818Q1Z9</t>
        </is>
      </c>
      <c r="D138" t="inlineStr">
        <is>
          <t>Journal</t>
        </is>
      </c>
      <c r="E138" t="inlineStr"/>
      <c r="F138" t="inlineStr">
        <is>
          <t>MCO25261086</t>
        </is>
      </c>
      <c r="G138" t="inlineStr">
        <is>
          <t>AAWFM3818Q_MCO25261086</t>
        </is>
      </c>
      <c r="H138" s="7" t="n">
        <v>46024</v>
      </c>
      <c r="I138" s="4" t="n">
        <v>39825</v>
      </c>
      <c r="J138" s="4" t="n">
        <v>33750</v>
      </c>
      <c r="K138" t="n">
        <v>18</v>
      </c>
      <c r="L138" s="4" t="n">
        <v>0</v>
      </c>
      <c r="M138" s="4" t="n">
        <v>3037.5</v>
      </c>
      <c r="N138" s="4" t="n">
        <v>3037.5</v>
      </c>
      <c r="O138" s="4" t="n">
        <v>0</v>
      </c>
      <c r="P138">
        <f>VLOOKUP(G138,'GST + Invocie No'!$B$5:$Y$183,24,0)</f>
        <v/>
      </c>
    </row>
    <row r="139">
      <c r="A139" s="7" t="n">
        <v>46054</v>
      </c>
      <c r="B139" t="inlineStr">
        <is>
          <t>Mathia &amp; Co.</t>
        </is>
      </c>
      <c r="C139" t="inlineStr">
        <is>
          <t>27AAWFM3818Q1Z9</t>
        </is>
      </c>
      <c r="D139" t="inlineStr">
        <is>
          <t>Journal</t>
        </is>
      </c>
      <c r="E139" t="inlineStr"/>
      <c r="F139" t="inlineStr">
        <is>
          <t>MCO25261116</t>
        </is>
      </c>
      <c r="G139" t="inlineStr">
        <is>
          <t>AAWFM3818Q_MCO25261116</t>
        </is>
      </c>
      <c r="H139" s="7" t="n">
        <v>46055</v>
      </c>
      <c r="I139" s="4" t="n">
        <v>39825</v>
      </c>
      <c r="J139" s="4" t="n">
        <v>33750</v>
      </c>
      <c r="K139" t="n">
        <v>18</v>
      </c>
      <c r="L139" s="4" t="n">
        <v>0</v>
      </c>
      <c r="M139" s="4" t="n">
        <v>3037.5</v>
      </c>
      <c r="N139" s="4" t="n">
        <v>3037.5</v>
      </c>
      <c r="O139" s="4" t="n">
        <v>0</v>
      </c>
      <c r="P139">
        <f>VLOOKUP(G139,'GST + Invocie No'!$B$5:$Y$183,24,0)</f>
        <v/>
      </c>
    </row>
    <row r="140">
      <c r="A140" s="7" t="n">
        <v>46054</v>
      </c>
      <c r="B140" t="inlineStr">
        <is>
          <t>Legal Entity Identifier India Limited</t>
        </is>
      </c>
      <c r="C140" t="inlineStr">
        <is>
          <t>27AACCL9508M1Z1</t>
        </is>
      </c>
      <c r="D140" t="inlineStr">
        <is>
          <t>Journal</t>
        </is>
      </c>
      <c r="E140" t="inlineStr"/>
      <c r="F140" t="inlineStr">
        <is>
          <t>IRG/2526/0028267</t>
        </is>
      </c>
      <c r="G140" t="inlineStr">
        <is>
          <t>AACCL9508M_IRG/2526/0028267</t>
        </is>
      </c>
      <c r="H140" s="7" t="n">
        <v>46078</v>
      </c>
      <c r="I140" s="4" t="n">
        <v>10207</v>
      </c>
      <c r="J140" s="4" t="n">
        <v>8650</v>
      </c>
      <c r="K140" t="n">
        <v>18</v>
      </c>
      <c r="L140" s="4" t="n">
        <v>0</v>
      </c>
      <c r="M140" s="4" t="n">
        <v>778.5</v>
      </c>
      <c r="N140" s="4" t="n">
        <v>778.5</v>
      </c>
      <c r="O140" s="4" t="n">
        <v>0</v>
      </c>
      <c r="P140">
        <f>VLOOKUP(G140,'GST + Invocie No'!$B$5:$Y$183,24,0)</f>
        <v/>
      </c>
    </row>
    <row r="141">
      <c r="A141" s="7" t="n">
        <v>45992</v>
      </c>
      <c r="B141" t="inlineStr">
        <is>
          <t>ICICI BANK LIMITED</t>
        </is>
      </c>
      <c r="C141" t="inlineStr">
        <is>
          <t>27AAACI1195H1ZM</t>
        </is>
      </c>
      <c r="D141" t="inlineStr">
        <is>
          <t>Payment</t>
        </is>
      </c>
      <c r="E141" t="inlineStr"/>
      <c r="F141" t="inlineStr">
        <is>
          <t>0138251355278901</t>
        </is>
      </c>
      <c r="G141" t="inlineStr">
        <is>
          <t>AAACI1195H_0138251355278901</t>
        </is>
      </c>
      <c r="H141" s="7" t="n">
        <v>46002</v>
      </c>
      <c r="I141" s="4" t="n">
        <v>2360</v>
      </c>
      <c r="J141" s="4" t="n">
        <v>2000</v>
      </c>
      <c r="K141" t="n">
        <v>18</v>
      </c>
      <c r="L141" s="4" t="n">
        <v>0</v>
      </c>
      <c r="M141" s="4" t="n">
        <v>180</v>
      </c>
      <c r="N141" s="4" t="n">
        <v>180</v>
      </c>
      <c r="O141" s="4" t="n">
        <v>0</v>
      </c>
      <c r="P141">
        <f>VLOOKUP(G141,'GST + Invocie No'!$B$5:$Y$183,24,0)</f>
        <v/>
      </c>
    </row>
    <row r="142">
      <c r="A142" s="7" t="n">
        <v>46054</v>
      </c>
      <c r="B142" t="inlineStr">
        <is>
          <t>ICICI BANK LIMITED</t>
        </is>
      </c>
      <c r="C142" t="inlineStr">
        <is>
          <t>27AAACI1195H1ZM</t>
        </is>
      </c>
      <c r="D142" t="inlineStr">
        <is>
          <t>Payment</t>
        </is>
      </c>
      <c r="E142" t="inlineStr"/>
      <c r="F142" t="inlineStr">
        <is>
          <t>0138261372750757</t>
        </is>
      </c>
      <c r="G142" t="inlineStr">
        <is>
          <t>AAACI1195H_0138261372750757</t>
        </is>
      </c>
      <c r="H142" s="7" t="n">
        <v>46058</v>
      </c>
      <c r="I142" s="4" t="n">
        <v>17.7</v>
      </c>
      <c r="J142" s="4" t="n">
        <v>15</v>
      </c>
      <c r="K142" t="n">
        <v>18</v>
      </c>
      <c r="L142" s="4" t="n">
        <v>0</v>
      </c>
      <c r="M142" s="4" t="n">
        <v>1.35</v>
      </c>
      <c r="N142" s="4" t="n">
        <v>1.35</v>
      </c>
      <c r="O142" s="4" t="n">
        <v>0</v>
      </c>
      <c r="P142">
        <f>VLOOKUP(G142,'GST + Invocie No'!$B$5:$Y$183,24,0)</f>
        <v/>
      </c>
    </row>
    <row r="143">
      <c r="A143" s="7" t="n">
        <v>46054</v>
      </c>
      <c r="B143" t="inlineStr">
        <is>
          <t>ICICI BANK LIMITED</t>
        </is>
      </c>
      <c r="C143" t="inlineStr">
        <is>
          <t>27AAACI1195H1ZM</t>
        </is>
      </c>
      <c r="D143" t="inlineStr">
        <is>
          <t>Payment</t>
        </is>
      </c>
      <c r="E143" t="inlineStr"/>
      <c r="F143" t="inlineStr">
        <is>
          <t>0138261384051212</t>
        </is>
      </c>
      <c r="G143" t="inlineStr">
        <is>
          <t>AAACI1195H_0138261384051212</t>
        </is>
      </c>
      <c r="H143" s="7" t="n">
        <v>46080</v>
      </c>
      <c r="I143" s="4" t="n">
        <v>529407</v>
      </c>
      <c r="J143" s="4" t="n">
        <v>448650</v>
      </c>
      <c r="K143" t="n">
        <v>18</v>
      </c>
      <c r="L143" s="4" t="n">
        <v>0</v>
      </c>
      <c r="M143" s="4" t="n">
        <v>40378.5</v>
      </c>
      <c r="N143" s="4" t="n">
        <v>40378.5</v>
      </c>
      <c r="O143" s="4" t="n">
        <v>0</v>
      </c>
      <c r="P143">
        <f>VLOOKUP(G143,'GST + Invocie No'!$B$5:$Y$183,24,0)</f>
        <v/>
      </c>
    </row>
    <row r="144">
      <c r="A144" s="7" t="n">
        <v>46054</v>
      </c>
      <c r="B144" t="inlineStr">
        <is>
          <t>ICICI BANK LIMITED</t>
        </is>
      </c>
      <c r="C144" t="inlineStr">
        <is>
          <t>27AAACI1195H1ZM</t>
        </is>
      </c>
      <c r="D144" t="inlineStr">
        <is>
          <t>Payment</t>
        </is>
      </c>
      <c r="E144" t="inlineStr"/>
      <c r="F144" t="inlineStr">
        <is>
          <t>0138261384181047</t>
        </is>
      </c>
      <c r="G144" t="inlineStr">
        <is>
          <t>AAACI1195H_0138261384181047</t>
        </is>
      </c>
      <c r="H144" s="7" t="n">
        <v>46081</v>
      </c>
      <c r="I144" s="4" t="n">
        <v>235764</v>
      </c>
      <c r="J144" s="4" t="n">
        <v>199800</v>
      </c>
      <c r="K144" t="n">
        <v>18</v>
      </c>
      <c r="L144" s="4" t="n">
        <v>0</v>
      </c>
      <c r="M144" s="4" t="n">
        <v>17982</v>
      </c>
      <c r="N144" s="4" t="n">
        <v>17982</v>
      </c>
      <c r="O144" s="4" t="n">
        <v>0</v>
      </c>
      <c r="P144">
        <f>VLOOKUP(G144,'GST + Invocie No'!$B$5:$Y$183,24,0)</f>
        <v/>
      </c>
    </row>
    <row r="145">
      <c r="A145" s="7" t="n">
        <v>46054</v>
      </c>
      <c r="B145" t="inlineStr">
        <is>
          <t>ICICI BANK LIMITED</t>
        </is>
      </c>
      <c r="C145" t="inlineStr">
        <is>
          <t>27AAACI1195H1ZM</t>
        </is>
      </c>
      <c r="D145" t="inlineStr">
        <is>
          <t>Payment</t>
        </is>
      </c>
      <c r="E145" t="inlineStr"/>
      <c r="F145" t="inlineStr">
        <is>
          <t>0138261384181210</t>
        </is>
      </c>
      <c r="G145" t="inlineStr">
        <is>
          <t>AAACI1195H_0138261384181210</t>
        </is>
      </c>
      <c r="H145" s="7" t="n">
        <v>46081</v>
      </c>
      <c r="I145" s="4" t="n">
        <v>236</v>
      </c>
      <c r="J145" s="4" t="n">
        <v>200</v>
      </c>
      <c r="K145" t="n">
        <v>18</v>
      </c>
      <c r="L145" s="4" t="n">
        <v>0</v>
      </c>
      <c r="M145" s="4" t="n">
        <v>18</v>
      </c>
      <c r="N145" s="4" t="n">
        <v>18</v>
      </c>
      <c r="O145" s="4" t="n">
        <v>0</v>
      </c>
      <c r="P145">
        <f>VLOOKUP(G145,'GST + Invocie No'!$B$5:$Y$183,24,0)</f>
        <v/>
      </c>
    </row>
    <row r="146">
      <c r="A146" s="7" t="n">
        <v>46082</v>
      </c>
      <c r="B146" t="inlineStr">
        <is>
          <t>ICICI BANK LIMITED</t>
        </is>
      </c>
      <c r="C146" t="inlineStr">
        <is>
          <t>27AAACI1195H1ZM</t>
        </is>
      </c>
      <c r="D146" t="inlineStr">
        <is>
          <t>Payment</t>
        </is>
      </c>
      <c r="E146" t="inlineStr"/>
      <c r="F146" t="inlineStr">
        <is>
          <t>0138261386221113</t>
        </is>
      </c>
      <c r="G146" t="inlineStr">
        <is>
          <t>AAACI1195H_0138261386221113</t>
        </is>
      </c>
      <c r="H146" s="7" t="n">
        <v>46088</v>
      </c>
      <c r="I146" s="4" t="n">
        <v>1.18</v>
      </c>
      <c r="J146" s="4" t="n">
        <v>1</v>
      </c>
      <c r="K146" t="n">
        <v>18</v>
      </c>
      <c r="L146" s="4" t="n">
        <v>0</v>
      </c>
      <c r="M146" s="4" t="n">
        <v>0.09</v>
      </c>
      <c r="N146" s="4" t="n">
        <v>0.09</v>
      </c>
      <c r="O146" s="4" t="n">
        <v>0</v>
      </c>
      <c r="P146">
        <f>VLOOKUP(G146,'GST + Invocie No'!$B$5:$Y$183,24,0)</f>
        <v/>
      </c>
    </row>
    <row r="147">
      <c r="A147" s="7" t="n">
        <v>46082</v>
      </c>
      <c r="B147" t="inlineStr">
        <is>
          <t>Mathia &amp; Co.</t>
        </is>
      </c>
      <c r="C147" t="inlineStr">
        <is>
          <t>27AAWFM3818Q1Z9</t>
        </is>
      </c>
      <c r="D147" t="inlineStr">
        <is>
          <t>Journal</t>
        </is>
      </c>
      <c r="E147" t="inlineStr"/>
      <c r="F147" t="inlineStr">
        <is>
          <t>MCO25261216</t>
        </is>
      </c>
      <c r="G147" t="inlineStr">
        <is>
          <t>AAWFM3818Q_MCO25261216</t>
        </is>
      </c>
      <c r="H147" s="7" t="n">
        <v>46085</v>
      </c>
      <c r="I147" s="4" t="n">
        <v>39825</v>
      </c>
      <c r="J147" s="4" t="n">
        <v>33750</v>
      </c>
      <c r="K147" t="n">
        <v>18</v>
      </c>
      <c r="L147" s="4" t="n">
        <v>0</v>
      </c>
      <c r="M147" s="4" t="n">
        <v>3037.5</v>
      </c>
      <c r="N147" s="4" t="n">
        <v>3037.5</v>
      </c>
      <c r="O147" s="4" t="n">
        <v>0</v>
      </c>
      <c r="P147">
        <f>VLOOKUP(G147,'GST + Invocie No'!$B$5:$Y$183,24,0)</f>
        <v/>
      </c>
    </row>
    <row r="148">
      <c r="A148" s="7" t="n">
        <v>46082</v>
      </c>
      <c r="B148" t="inlineStr">
        <is>
          <t>BDS Legal Services</t>
        </is>
      </c>
      <c r="C148" t="inlineStr">
        <is>
          <t>27AAGCB5066J1ZG</t>
        </is>
      </c>
      <c r="D148" t="inlineStr">
        <is>
          <t>Journal</t>
        </is>
      </c>
      <c r="E148" t="inlineStr"/>
      <c r="F148" t="inlineStr">
        <is>
          <t>TXN/25-26/1136</t>
        </is>
      </c>
      <c r="G148" t="inlineStr">
        <is>
          <t>AAGCB5066J_TXN/25-26/1136</t>
        </is>
      </c>
      <c r="H148" s="7" t="n">
        <v>46106</v>
      </c>
      <c r="I148" s="4" t="n">
        <v>42120.1</v>
      </c>
      <c r="J148" s="4" t="n">
        <v>35695</v>
      </c>
      <c r="K148" t="n">
        <v>18</v>
      </c>
      <c r="L148" s="4" t="n">
        <v>0</v>
      </c>
      <c r="M148" s="4" t="n">
        <v>3212.55</v>
      </c>
      <c r="N148" s="4" t="n">
        <v>3212.55</v>
      </c>
      <c r="O148" s="4" t="n">
        <v>0</v>
      </c>
      <c r="P148">
        <f>VLOOKUP(G148,'GST + Invocie No'!$B$5:$Y$183,24,0)</f>
        <v/>
      </c>
    </row>
    <row r="149">
      <c r="A149" s="7" t="n">
        <v>45809</v>
      </c>
      <c r="B149" t="inlineStr">
        <is>
          <t>FACEBOOK INDIA ONLINE SERVICES PRIVATE LIMITED</t>
        </is>
      </c>
      <c r="C149" t="inlineStr">
        <is>
          <t>06AABCF5150G1ZZ</t>
        </is>
      </c>
      <c r="D149" t="inlineStr">
        <is>
          <t>Debit Note</t>
        </is>
      </c>
      <c r="E149" t="inlineStr"/>
      <c r="F149" t="inlineStr">
        <is>
          <t>ADS406-104513598</t>
        </is>
      </c>
      <c r="G149" t="inlineStr">
        <is>
          <t>AABCF5150G_ADS406-104513598</t>
        </is>
      </c>
      <c r="H149" s="7" t="n">
        <v>45821</v>
      </c>
      <c r="I149" s="4" t="n">
        <v>-0.47</v>
      </c>
      <c r="J149" s="4" t="n">
        <v>-0.4</v>
      </c>
      <c r="K149" t="n">
        <v>18</v>
      </c>
      <c r="L149" s="4" t="n">
        <v>-0.07000000000000001</v>
      </c>
      <c r="M149" s="4" t="n">
        <v>0</v>
      </c>
      <c r="N149" s="4" t="n">
        <v>0</v>
      </c>
      <c r="O149" s="4" t="n">
        <v>0</v>
      </c>
      <c r="P149">
        <f>VLOOKUP(G149,'GST + Invocie No'!$B$5:$Y$183,24,0)</f>
        <v/>
      </c>
    </row>
    <row r="150">
      <c r="A150" s="7" t="n">
        <v>45809</v>
      </c>
      <c r="B150" t="inlineStr">
        <is>
          <t>Mathia &amp; Co.</t>
        </is>
      </c>
      <c r="C150" t="inlineStr">
        <is>
          <t>27AAWFM3818Q1Z9</t>
        </is>
      </c>
      <c r="D150" t="inlineStr">
        <is>
          <t>Debit Note</t>
        </is>
      </c>
      <c r="E150" t="inlineStr"/>
      <c r="F150" t="inlineStr">
        <is>
          <t>MCO24251562</t>
        </is>
      </c>
      <c r="G150" t="inlineStr">
        <is>
          <t>AAWFM3818Q_MCO24251562</t>
        </is>
      </c>
      <c r="H150" s="7" t="n">
        <v>45731</v>
      </c>
      <c r="I150" s="4" t="n">
        <v>-36875</v>
      </c>
      <c r="J150" s="4" t="n">
        <v>-31250</v>
      </c>
      <c r="K150" t="n">
        <v>18</v>
      </c>
      <c r="L150" s="4" t="n">
        <v>0</v>
      </c>
      <c r="M150" s="4" t="n">
        <v>-2812.5</v>
      </c>
      <c r="N150" s="4" t="n">
        <v>-2812.5</v>
      </c>
      <c r="O150" s="4" t="n">
        <v>0</v>
      </c>
      <c r="P150">
        <f>VLOOKUP(G150,'GST + Invocie No'!$B$5:$Y$183,24,0)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20" customWidth="1" min="20" max="20"/>
  </cols>
  <sheetData>
    <row r="1">
      <c r="A1" s="1" t="inlineStr">
        <is>
          <t>GST / PAN Wise Reconciliation Summary</t>
        </is>
      </c>
    </row>
    <row r="2">
      <c r="C2" s="1" t="inlineStr">
        <is>
          <t xml:space="preserve">As per Book </t>
        </is>
      </c>
      <c r="I2" s="1" t="inlineStr">
        <is>
          <t>As per 2B</t>
        </is>
      </c>
      <c r="O2" s="1" t="inlineStr">
        <is>
          <t>Diff Book vs 2B</t>
        </is>
      </c>
    </row>
    <row r="3">
      <c r="A3" s="3" t="inlineStr">
        <is>
          <t>PAN / GST No</t>
        </is>
      </c>
      <c r="B3" s="3" t="inlineStr">
        <is>
          <t>0</t>
        </is>
      </c>
      <c r="C3" s="3" t="inlineStr">
        <is>
          <t>Book Taxable Amount</t>
        </is>
      </c>
      <c r="D3" s="3" t="inlineStr">
        <is>
          <t>Book IGST</t>
        </is>
      </c>
      <c r="E3" s="3" t="inlineStr">
        <is>
          <t>Book CGST</t>
        </is>
      </c>
      <c r="F3" s="3" t="inlineStr">
        <is>
          <t>Book SGST</t>
        </is>
      </c>
      <c r="G3" s="3" t="inlineStr">
        <is>
          <t>Cess</t>
        </is>
      </c>
      <c r="H3" s="3" t="inlineStr">
        <is>
          <t>0</t>
        </is>
      </c>
      <c r="I3" s="3" t="inlineStr">
        <is>
          <t>2B Taxable Amount</t>
        </is>
      </c>
      <c r="J3" s="3" t="inlineStr">
        <is>
          <t>2B IGST</t>
        </is>
      </c>
      <c r="K3" s="3" t="inlineStr">
        <is>
          <t>2B CGST</t>
        </is>
      </c>
      <c r="L3" s="3" t="inlineStr">
        <is>
          <t>2B SGST</t>
        </is>
      </c>
      <c r="M3" s="3" t="inlineStr">
        <is>
          <t>Cess</t>
        </is>
      </c>
      <c r="N3" s="3" t="inlineStr">
        <is>
          <t>0</t>
        </is>
      </c>
      <c r="O3" s="3" t="inlineStr">
        <is>
          <t>Taxable Amount</t>
        </is>
      </c>
      <c r="P3" s="3" t="inlineStr">
        <is>
          <t>IGST</t>
        </is>
      </c>
      <c r="Q3" s="3" t="inlineStr">
        <is>
          <t>CGST</t>
        </is>
      </c>
      <c r="R3" s="3" t="inlineStr">
        <is>
          <t>SGST</t>
        </is>
      </c>
      <c r="S3" s="3" t="inlineStr">
        <is>
          <t>Cess</t>
        </is>
      </c>
      <c r="T3" s="3" t="inlineStr">
        <is>
          <t>Status</t>
        </is>
      </c>
    </row>
    <row r="4">
      <c r="A4" t="inlineStr">
        <is>
          <t>AAACC6233A</t>
        </is>
      </c>
      <c r="B4" t="n">
        <v>0</v>
      </c>
      <c r="C4" s="4">
        <f>SUMIF(Book!$C:$C,"*"&amp;$A4&amp;"*",Book!J:J)</f>
        <v/>
      </c>
      <c r="D4" s="4">
        <f>SUMIF(Book!$C:$C,"*"&amp;$A4&amp;"*",Book!L:L)</f>
        <v/>
      </c>
      <c r="E4" s="4">
        <f>SUMIF(Book!$C:$C,"*"&amp;$A4&amp;"*",Book!M:M)</f>
        <v/>
      </c>
      <c r="F4" s="4">
        <f>SUMIF(Book!$C:$C,"*"&amp;$A4&amp;"*",Book!N:N)</f>
        <v/>
      </c>
      <c r="G4" s="4">
        <f>SUMIF(Book!$C:$C,"*"&amp;$A4&amp;"*",Book!O:O)</f>
        <v/>
      </c>
      <c r="H4" t="n">
        <v>0</v>
      </c>
      <c r="I4" s="4">
        <f>SUMIF('GSTR-2B'!$C:$C,"*"&amp;$A4&amp;"*",'GSTR-2B'!J:J)</f>
        <v/>
      </c>
      <c r="J4" s="4">
        <f>SUMIF('GSTR-2B'!$C:$C,"*"&amp;$A4&amp;"*",'GSTR-2B'!L:L)</f>
        <v/>
      </c>
      <c r="K4" s="4">
        <f>SUMIF('GSTR-2B'!$C:$C,"*"&amp;$A4&amp;"*",'GSTR-2B'!M:M)</f>
        <v/>
      </c>
      <c r="L4" s="4">
        <f>SUMIF('GSTR-2B'!$C:$C,"*"&amp;$A4&amp;"*",'GSTR-2B'!N:N)</f>
        <v/>
      </c>
      <c r="M4" s="4">
        <f>SUMIF('GSTR-2B'!$C:$C,"*"&amp;$A4&amp;"*",'GSTR-2B'!O:O)</f>
        <v/>
      </c>
      <c r="N4" t="n">
        <v>0</v>
      </c>
      <c r="O4" s="4">
        <f>+C4-I4</f>
        <v/>
      </c>
      <c r="P4" s="4">
        <f>+D4-J4</f>
        <v/>
      </c>
      <c r="Q4" s="4">
        <f>+E4-K4</f>
        <v/>
      </c>
      <c r="R4" s="4">
        <f>+F4-L4</f>
        <v/>
      </c>
      <c r="S4" s="4">
        <f>+G4-M4</f>
        <v/>
      </c>
      <c r="T4" s="5" t="inlineStr">
        <is>
          <t>Book And 2B Match</t>
        </is>
      </c>
    </row>
    <row r="5">
      <c r="A5" t="inlineStr">
        <is>
          <t>AAACI1195H</t>
        </is>
      </c>
      <c r="B5" t="n">
        <v>0</v>
      </c>
      <c r="C5" s="4">
        <f>SUMIF(Book!$C:$C,"*"&amp;$A5&amp;"*",Book!J:J)</f>
        <v/>
      </c>
      <c r="D5" s="4">
        <f>SUMIF(Book!$C:$C,"*"&amp;$A5&amp;"*",Book!L:L)</f>
        <v/>
      </c>
      <c r="E5" s="4">
        <f>SUMIF(Book!$C:$C,"*"&amp;$A5&amp;"*",Book!M:M)</f>
        <v/>
      </c>
      <c r="F5" s="4">
        <f>SUMIF(Book!$C:$C,"*"&amp;$A5&amp;"*",Book!N:N)</f>
        <v/>
      </c>
      <c r="G5" s="4">
        <f>SUMIF(Book!$C:$C,"*"&amp;$A5&amp;"*",Book!O:O)</f>
        <v/>
      </c>
      <c r="H5" t="n">
        <v>0</v>
      </c>
      <c r="I5" s="4">
        <f>SUMIF('GSTR-2B'!$C:$C,"*"&amp;$A5&amp;"*",'GSTR-2B'!J:J)</f>
        <v/>
      </c>
      <c r="J5" s="4">
        <f>SUMIF('GSTR-2B'!$C:$C,"*"&amp;$A5&amp;"*",'GSTR-2B'!L:L)</f>
        <v/>
      </c>
      <c r="K5" s="4">
        <f>SUMIF('GSTR-2B'!$C:$C,"*"&amp;$A5&amp;"*",'GSTR-2B'!M:M)</f>
        <v/>
      </c>
      <c r="L5" s="4">
        <f>SUMIF('GSTR-2B'!$C:$C,"*"&amp;$A5&amp;"*",'GSTR-2B'!N:N)</f>
        <v/>
      </c>
      <c r="M5" s="4">
        <f>SUMIF('GSTR-2B'!$C:$C,"*"&amp;$A5&amp;"*",'GSTR-2B'!O:O)</f>
        <v/>
      </c>
      <c r="N5" t="n">
        <v>0</v>
      </c>
      <c r="O5" s="4">
        <f>+C5-I5</f>
        <v/>
      </c>
      <c r="P5" s="4">
        <f>+D5-J5</f>
        <v/>
      </c>
      <c r="Q5" s="4">
        <f>+E5-K5</f>
        <v/>
      </c>
      <c r="R5" s="4">
        <f>+F5-L5</f>
        <v/>
      </c>
      <c r="S5" s="4">
        <f>+G5-M5</f>
        <v/>
      </c>
      <c r="T5" s="5" t="inlineStr">
        <is>
          <t>Book And 2B Match</t>
        </is>
      </c>
    </row>
    <row r="6">
      <c r="A6" t="inlineStr">
        <is>
          <t>AAACP4924D</t>
        </is>
      </c>
      <c r="B6" t="n">
        <v>0</v>
      </c>
      <c r="C6" s="4">
        <f>SUMIF(Book!$C:$C,"*"&amp;$A6&amp;"*",Book!J:J)</f>
        <v/>
      </c>
      <c r="D6" s="4">
        <f>SUMIF(Book!$C:$C,"*"&amp;$A6&amp;"*",Book!L:L)</f>
        <v/>
      </c>
      <c r="E6" s="4">
        <f>SUMIF(Book!$C:$C,"*"&amp;$A6&amp;"*",Book!M:M)</f>
        <v/>
      </c>
      <c r="F6" s="4">
        <f>SUMIF(Book!$C:$C,"*"&amp;$A6&amp;"*",Book!N:N)</f>
        <v/>
      </c>
      <c r="G6" s="4">
        <f>SUMIF(Book!$C:$C,"*"&amp;$A6&amp;"*",Book!O:O)</f>
        <v/>
      </c>
      <c r="H6" t="n">
        <v>0</v>
      </c>
      <c r="I6" s="4">
        <f>SUMIF('GSTR-2B'!$C:$C,"*"&amp;$A6&amp;"*",'GSTR-2B'!J:J)</f>
        <v/>
      </c>
      <c r="J6" s="4">
        <f>SUMIF('GSTR-2B'!$C:$C,"*"&amp;$A6&amp;"*",'GSTR-2B'!L:L)</f>
        <v/>
      </c>
      <c r="K6" s="4">
        <f>SUMIF('GSTR-2B'!$C:$C,"*"&amp;$A6&amp;"*",'GSTR-2B'!M:M)</f>
        <v/>
      </c>
      <c r="L6" s="4">
        <f>SUMIF('GSTR-2B'!$C:$C,"*"&amp;$A6&amp;"*",'GSTR-2B'!N:N)</f>
        <v/>
      </c>
      <c r="M6" s="4">
        <f>SUMIF('GSTR-2B'!$C:$C,"*"&amp;$A6&amp;"*",'GSTR-2B'!O:O)</f>
        <v/>
      </c>
      <c r="N6" t="n">
        <v>0</v>
      </c>
      <c r="O6" s="4">
        <f>+C6-I6</f>
        <v/>
      </c>
      <c r="P6" s="4">
        <f>+D6-J6</f>
        <v/>
      </c>
      <c r="Q6" s="4">
        <f>+E6-K6</f>
        <v/>
      </c>
      <c r="R6" s="4">
        <f>+F6-L6</f>
        <v/>
      </c>
      <c r="S6" s="4">
        <f>+G6-M6</f>
        <v/>
      </c>
      <c r="T6" s="5" t="inlineStr">
        <is>
          <t>Book And 2B Match</t>
        </is>
      </c>
    </row>
    <row r="7">
      <c r="A7" t="inlineStr">
        <is>
          <t>AABCF5150G</t>
        </is>
      </c>
      <c r="B7" t="n">
        <v>0</v>
      </c>
      <c r="C7" s="4">
        <f>SUMIF(Book!$C:$C,"*"&amp;$A7&amp;"*",Book!J:J)</f>
        <v/>
      </c>
      <c r="D7" s="4">
        <f>SUMIF(Book!$C:$C,"*"&amp;$A7&amp;"*",Book!L:L)</f>
        <v/>
      </c>
      <c r="E7" s="4">
        <f>SUMIF(Book!$C:$C,"*"&amp;$A7&amp;"*",Book!M:M)</f>
        <v/>
      </c>
      <c r="F7" s="4">
        <f>SUMIF(Book!$C:$C,"*"&amp;$A7&amp;"*",Book!N:N)</f>
        <v/>
      </c>
      <c r="G7" s="4">
        <f>SUMIF(Book!$C:$C,"*"&amp;$A7&amp;"*",Book!O:O)</f>
        <v/>
      </c>
      <c r="H7" t="n">
        <v>0</v>
      </c>
      <c r="I7" s="4">
        <f>SUMIF('GSTR-2B'!$C:$C,"*"&amp;$A7&amp;"*",'GSTR-2B'!J:J)</f>
        <v/>
      </c>
      <c r="J7" s="4">
        <f>SUMIF('GSTR-2B'!$C:$C,"*"&amp;$A7&amp;"*",'GSTR-2B'!L:L)</f>
        <v/>
      </c>
      <c r="K7" s="4">
        <f>SUMIF('GSTR-2B'!$C:$C,"*"&amp;$A7&amp;"*",'GSTR-2B'!M:M)</f>
        <v/>
      </c>
      <c r="L7" s="4">
        <f>SUMIF('GSTR-2B'!$C:$C,"*"&amp;$A7&amp;"*",'GSTR-2B'!N:N)</f>
        <v/>
      </c>
      <c r="M7" s="4">
        <f>SUMIF('GSTR-2B'!$C:$C,"*"&amp;$A7&amp;"*",'GSTR-2B'!O:O)</f>
        <v/>
      </c>
      <c r="N7" t="n">
        <v>0</v>
      </c>
      <c r="O7" s="4">
        <f>+C7-I7</f>
        <v/>
      </c>
      <c r="P7" s="4">
        <f>+D7-J7</f>
        <v/>
      </c>
      <c r="Q7" s="4">
        <f>+E7-K7</f>
        <v/>
      </c>
      <c r="R7" s="4">
        <f>+F7-L7</f>
        <v/>
      </c>
      <c r="S7" s="4">
        <f>+G7-M7</f>
        <v/>
      </c>
      <c r="T7" s="5" t="inlineStr">
        <is>
          <t>Book And 2B Match</t>
        </is>
      </c>
    </row>
    <row r="8">
      <c r="A8" t="inlineStr">
        <is>
          <t>AABPV6272G</t>
        </is>
      </c>
      <c r="B8" t="n">
        <v>0</v>
      </c>
      <c r="C8" s="4">
        <f>SUMIF(Book!$C:$C,"*"&amp;$A8&amp;"*",Book!J:J)</f>
        <v/>
      </c>
      <c r="D8" s="4">
        <f>SUMIF(Book!$C:$C,"*"&amp;$A8&amp;"*",Book!L:L)</f>
        <v/>
      </c>
      <c r="E8" s="4">
        <f>SUMIF(Book!$C:$C,"*"&amp;$A8&amp;"*",Book!M:M)</f>
        <v/>
      </c>
      <c r="F8" s="4">
        <f>SUMIF(Book!$C:$C,"*"&amp;$A8&amp;"*",Book!N:N)</f>
        <v/>
      </c>
      <c r="G8" s="4">
        <f>SUMIF(Book!$C:$C,"*"&amp;$A8&amp;"*",Book!O:O)</f>
        <v/>
      </c>
      <c r="H8" t="n">
        <v>0</v>
      </c>
      <c r="I8" s="4">
        <f>SUMIF('GSTR-2B'!$C:$C,"*"&amp;$A8&amp;"*",'GSTR-2B'!J:J)</f>
        <v/>
      </c>
      <c r="J8" s="4">
        <f>SUMIF('GSTR-2B'!$C:$C,"*"&amp;$A8&amp;"*",'GSTR-2B'!L:L)</f>
        <v/>
      </c>
      <c r="K8" s="4">
        <f>SUMIF('GSTR-2B'!$C:$C,"*"&amp;$A8&amp;"*",'GSTR-2B'!M:M)</f>
        <v/>
      </c>
      <c r="L8" s="4">
        <f>SUMIF('GSTR-2B'!$C:$C,"*"&amp;$A8&amp;"*",'GSTR-2B'!N:N)</f>
        <v/>
      </c>
      <c r="M8" s="4">
        <f>SUMIF('GSTR-2B'!$C:$C,"*"&amp;$A8&amp;"*",'GSTR-2B'!O:O)</f>
        <v/>
      </c>
      <c r="N8" t="n">
        <v>0</v>
      </c>
      <c r="O8" s="4">
        <f>+C8-I8</f>
        <v/>
      </c>
      <c r="P8" s="4">
        <f>+D8-J8</f>
        <v/>
      </c>
      <c r="Q8" s="4">
        <f>+E8-K8</f>
        <v/>
      </c>
      <c r="R8" s="4">
        <f>+F8-L8</f>
        <v/>
      </c>
      <c r="S8" s="4">
        <f>+G8-M8</f>
        <v/>
      </c>
      <c r="T8" s="5" t="inlineStr">
        <is>
          <t>Book And 2B Match</t>
        </is>
      </c>
    </row>
    <row r="9">
      <c r="A9" t="inlineStr">
        <is>
          <t>AACCL9508M</t>
        </is>
      </c>
      <c r="B9" t="n">
        <v>0</v>
      </c>
      <c r="C9" s="4">
        <f>SUMIF(Book!$C:$C,"*"&amp;$A9&amp;"*",Book!J:J)</f>
        <v/>
      </c>
      <c r="D9" s="4">
        <f>SUMIF(Book!$C:$C,"*"&amp;$A9&amp;"*",Book!L:L)</f>
        <v/>
      </c>
      <c r="E9" s="4">
        <f>SUMIF(Book!$C:$C,"*"&amp;$A9&amp;"*",Book!M:M)</f>
        <v/>
      </c>
      <c r="F9" s="4">
        <f>SUMIF(Book!$C:$C,"*"&amp;$A9&amp;"*",Book!N:N)</f>
        <v/>
      </c>
      <c r="G9" s="4">
        <f>SUMIF(Book!$C:$C,"*"&amp;$A9&amp;"*",Book!O:O)</f>
        <v/>
      </c>
      <c r="H9" t="n">
        <v>0</v>
      </c>
      <c r="I9" s="4">
        <f>SUMIF('GSTR-2B'!$C:$C,"*"&amp;$A9&amp;"*",'GSTR-2B'!J:J)</f>
        <v/>
      </c>
      <c r="J9" s="4">
        <f>SUMIF('GSTR-2B'!$C:$C,"*"&amp;$A9&amp;"*",'GSTR-2B'!L:L)</f>
        <v/>
      </c>
      <c r="K9" s="4">
        <f>SUMIF('GSTR-2B'!$C:$C,"*"&amp;$A9&amp;"*",'GSTR-2B'!M:M)</f>
        <v/>
      </c>
      <c r="L9" s="4">
        <f>SUMIF('GSTR-2B'!$C:$C,"*"&amp;$A9&amp;"*",'GSTR-2B'!N:N)</f>
        <v/>
      </c>
      <c r="M9" s="4">
        <f>SUMIF('GSTR-2B'!$C:$C,"*"&amp;$A9&amp;"*",'GSTR-2B'!O:O)</f>
        <v/>
      </c>
      <c r="N9" t="n">
        <v>0</v>
      </c>
      <c r="O9" s="4">
        <f>+C9-I9</f>
        <v/>
      </c>
      <c r="P9" s="4">
        <f>+D9-J9</f>
        <v/>
      </c>
      <c r="Q9" s="4">
        <f>+E9-K9</f>
        <v/>
      </c>
      <c r="R9" s="4">
        <f>+F9-L9</f>
        <v/>
      </c>
      <c r="S9" s="4">
        <f>+G9-M9</f>
        <v/>
      </c>
      <c r="T9" s="5" t="inlineStr">
        <is>
          <t>Book And 2B Match</t>
        </is>
      </c>
    </row>
    <row r="10">
      <c r="A10" t="inlineStr">
        <is>
          <t>AACCO0905F</t>
        </is>
      </c>
      <c r="B10" t="n">
        <v>0</v>
      </c>
      <c r="C10" s="4">
        <f>SUMIF(Book!$C:$C,"*"&amp;$A10&amp;"*",Book!J:J)</f>
        <v/>
      </c>
      <c r="D10" s="4">
        <f>SUMIF(Book!$C:$C,"*"&amp;$A10&amp;"*",Book!L:L)</f>
        <v/>
      </c>
      <c r="E10" s="4">
        <f>SUMIF(Book!$C:$C,"*"&amp;$A10&amp;"*",Book!M:M)</f>
        <v/>
      </c>
      <c r="F10" s="4">
        <f>SUMIF(Book!$C:$C,"*"&amp;$A10&amp;"*",Book!N:N)</f>
        <v/>
      </c>
      <c r="G10" s="4">
        <f>SUMIF(Book!$C:$C,"*"&amp;$A10&amp;"*",Book!O:O)</f>
        <v/>
      </c>
      <c r="H10" t="n">
        <v>0</v>
      </c>
      <c r="I10" s="4">
        <f>SUMIF('GSTR-2B'!$C:$C,"*"&amp;$A10&amp;"*",'GSTR-2B'!J:J)</f>
        <v/>
      </c>
      <c r="J10" s="4">
        <f>SUMIF('GSTR-2B'!$C:$C,"*"&amp;$A10&amp;"*",'GSTR-2B'!L:L)</f>
        <v/>
      </c>
      <c r="K10" s="4">
        <f>SUMIF('GSTR-2B'!$C:$C,"*"&amp;$A10&amp;"*",'GSTR-2B'!M:M)</f>
        <v/>
      </c>
      <c r="L10" s="4">
        <f>SUMIF('GSTR-2B'!$C:$C,"*"&amp;$A10&amp;"*",'GSTR-2B'!N:N)</f>
        <v/>
      </c>
      <c r="M10" s="4">
        <f>SUMIF('GSTR-2B'!$C:$C,"*"&amp;$A10&amp;"*",'GSTR-2B'!O:O)</f>
        <v/>
      </c>
      <c r="N10" t="n">
        <v>0</v>
      </c>
      <c r="O10" s="4">
        <f>+C10-I10</f>
        <v/>
      </c>
      <c r="P10" s="4">
        <f>+D10-J10</f>
        <v/>
      </c>
      <c r="Q10" s="4">
        <f>+E10-K10</f>
        <v/>
      </c>
      <c r="R10" s="4">
        <f>+F10-L10</f>
        <v/>
      </c>
      <c r="S10" s="4">
        <f>+G10-M10</f>
        <v/>
      </c>
      <c r="T10" s="5" t="inlineStr">
        <is>
          <t>Book And 2B Match</t>
        </is>
      </c>
    </row>
    <row r="11">
      <c r="A11" t="inlineStr">
        <is>
          <t>AACCR7740M</t>
        </is>
      </c>
      <c r="B11" t="n">
        <v>0</v>
      </c>
      <c r="C11" s="4">
        <f>SUMIF(Book!$C:$C,"*"&amp;$A11&amp;"*",Book!J:J)</f>
        <v/>
      </c>
      <c r="D11" s="4">
        <f>SUMIF(Book!$C:$C,"*"&amp;$A11&amp;"*",Book!L:L)</f>
        <v/>
      </c>
      <c r="E11" s="4">
        <f>SUMIF(Book!$C:$C,"*"&amp;$A11&amp;"*",Book!M:M)</f>
        <v/>
      </c>
      <c r="F11" s="4">
        <f>SUMIF(Book!$C:$C,"*"&amp;$A11&amp;"*",Book!N:N)</f>
        <v/>
      </c>
      <c r="G11" s="4">
        <f>SUMIF(Book!$C:$C,"*"&amp;$A11&amp;"*",Book!O:O)</f>
        <v/>
      </c>
      <c r="H11" t="n">
        <v>0</v>
      </c>
      <c r="I11" s="4">
        <f>SUMIF('GSTR-2B'!$C:$C,"*"&amp;$A11&amp;"*",'GSTR-2B'!J:J)</f>
        <v/>
      </c>
      <c r="J11" s="4">
        <f>SUMIF('GSTR-2B'!$C:$C,"*"&amp;$A11&amp;"*",'GSTR-2B'!L:L)</f>
        <v/>
      </c>
      <c r="K11" s="4">
        <f>SUMIF('GSTR-2B'!$C:$C,"*"&amp;$A11&amp;"*",'GSTR-2B'!M:M)</f>
        <v/>
      </c>
      <c r="L11" s="4">
        <f>SUMIF('GSTR-2B'!$C:$C,"*"&amp;$A11&amp;"*",'GSTR-2B'!N:N)</f>
        <v/>
      </c>
      <c r="M11" s="4">
        <f>SUMIF('GSTR-2B'!$C:$C,"*"&amp;$A11&amp;"*",'GSTR-2B'!O:O)</f>
        <v/>
      </c>
      <c r="N11" t="n">
        <v>0</v>
      </c>
      <c r="O11" s="4">
        <f>+C11-I11</f>
        <v/>
      </c>
      <c r="P11" s="4">
        <f>+D11-J11</f>
        <v/>
      </c>
      <c r="Q11" s="4">
        <f>+E11-K11</f>
        <v/>
      </c>
      <c r="R11" s="4">
        <f>+F11-L11</f>
        <v/>
      </c>
      <c r="S11" s="4">
        <f>+G11-M11</f>
        <v/>
      </c>
      <c r="T11" s="5" t="inlineStr">
        <is>
          <t>Book And 2B Match</t>
        </is>
      </c>
    </row>
    <row r="12">
      <c r="A12" t="inlineStr">
        <is>
          <t>AADCD9460D</t>
        </is>
      </c>
      <c r="B12" t="n">
        <v>0</v>
      </c>
      <c r="C12" s="4">
        <f>SUMIF(Book!$C:$C,"*"&amp;$A12&amp;"*",Book!J:J)</f>
        <v/>
      </c>
      <c r="D12" s="4">
        <f>SUMIF(Book!$C:$C,"*"&amp;$A12&amp;"*",Book!L:L)</f>
        <v/>
      </c>
      <c r="E12" s="4">
        <f>SUMIF(Book!$C:$C,"*"&amp;$A12&amp;"*",Book!M:M)</f>
        <v/>
      </c>
      <c r="F12" s="4">
        <f>SUMIF(Book!$C:$C,"*"&amp;$A12&amp;"*",Book!N:N)</f>
        <v/>
      </c>
      <c r="G12" s="4">
        <f>SUMIF(Book!$C:$C,"*"&amp;$A12&amp;"*",Book!O:O)</f>
        <v/>
      </c>
      <c r="H12" t="n">
        <v>0</v>
      </c>
      <c r="I12" s="4">
        <f>SUMIF('GSTR-2B'!$C:$C,"*"&amp;$A12&amp;"*",'GSTR-2B'!J:J)</f>
        <v/>
      </c>
      <c r="J12" s="4">
        <f>SUMIF('GSTR-2B'!$C:$C,"*"&amp;$A12&amp;"*",'GSTR-2B'!L:L)</f>
        <v/>
      </c>
      <c r="K12" s="4">
        <f>SUMIF('GSTR-2B'!$C:$C,"*"&amp;$A12&amp;"*",'GSTR-2B'!M:M)</f>
        <v/>
      </c>
      <c r="L12" s="4">
        <f>SUMIF('GSTR-2B'!$C:$C,"*"&amp;$A12&amp;"*",'GSTR-2B'!N:N)</f>
        <v/>
      </c>
      <c r="M12" s="4">
        <f>SUMIF('GSTR-2B'!$C:$C,"*"&amp;$A12&amp;"*",'GSTR-2B'!O:O)</f>
        <v/>
      </c>
      <c r="N12" t="n">
        <v>0</v>
      </c>
      <c r="O12" s="4">
        <f>+C12-I12</f>
        <v/>
      </c>
      <c r="P12" s="4">
        <f>+D12-J12</f>
        <v/>
      </c>
      <c r="Q12" s="4">
        <f>+E12-K12</f>
        <v/>
      </c>
      <c r="R12" s="4">
        <f>+F12-L12</f>
        <v/>
      </c>
      <c r="S12" s="4">
        <f>+G12-M12</f>
        <v/>
      </c>
      <c r="T12" s="5" t="inlineStr">
        <is>
          <t>Book And 2B Match</t>
        </is>
      </c>
    </row>
    <row r="13">
      <c r="A13" t="inlineStr">
        <is>
          <t>AADCN9802F</t>
        </is>
      </c>
      <c r="B13" t="n">
        <v>0</v>
      </c>
      <c r="C13" s="4">
        <f>SUMIF(Book!$C:$C,"*"&amp;$A13&amp;"*",Book!J:J)</f>
        <v/>
      </c>
      <c r="D13" s="4">
        <f>SUMIF(Book!$C:$C,"*"&amp;$A13&amp;"*",Book!L:L)</f>
        <v/>
      </c>
      <c r="E13" s="4">
        <f>SUMIF(Book!$C:$C,"*"&amp;$A13&amp;"*",Book!M:M)</f>
        <v/>
      </c>
      <c r="F13" s="4">
        <f>SUMIF(Book!$C:$C,"*"&amp;$A13&amp;"*",Book!N:N)</f>
        <v/>
      </c>
      <c r="G13" s="4">
        <f>SUMIF(Book!$C:$C,"*"&amp;$A13&amp;"*",Book!O:O)</f>
        <v/>
      </c>
      <c r="H13" t="n">
        <v>0</v>
      </c>
      <c r="I13" s="4">
        <f>SUMIF('GSTR-2B'!$C:$C,"*"&amp;$A13&amp;"*",'GSTR-2B'!J:J)</f>
        <v/>
      </c>
      <c r="J13" s="4">
        <f>SUMIF('GSTR-2B'!$C:$C,"*"&amp;$A13&amp;"*",'GSTR-2B'!L:L)</f>
        <v/>
      </c>
      <c r="K13" s="4">
        <f>SUMIF('GSTR-2B'!$C:$C,"*"&amp;$A13&amp;"*",'GSTR-2B'!M:M)</f>
        <v/>
      </c>
      <c r="L13" s="4">
        <f>SUMIF('GSTR-2B'!$C:$C,"*"&amp;$A13&amp;"*",'GSTR-2B'!N:N)</f>
        <v/>
      </c>
      <c r="M13" s="4">
        <f>SUMIF('GSTR-2B'!$C:$C,"*"&amp;$A13&amp;"*",'GSTR-2B'!O:O)</f>
        <v/>
      </c>
      <c r="N13" t="n">
        <v>0</v>
      </c>
      <c r="O13" s="4">
        <f>+C13-I13</f>
        <v/>
      </c>
      <c r="P13" s="4">
        <f>+D13-J13</f>
        <v/>
      </c>
      <c r="Q13" s="4">
        <f>+E13-K13</f>
        <v/>
      </c>
      <c r="R13" s="4">
        <f>+F13-L13</f>
        <v/>
      </c>
      <c r="S13" s="4">
        <f>+G13-M13</f>
        <v/>
      </c>
      <c r="T13" s="5" t="inlineStr">
        <is>
          <t>Book And 2B Match</t>
        </is>
      </c>
    </row>
    <row r="14">
      <c r="A14" t="inlineStr">
        <is>
          <t>AAECP9085D</t>
        </is>
      </c>
      <c r="B14" t="n">
        <v>0</v>
      </c>
      <c r="C14" s="4">
        <f>SUMIF(Book!$C:$C,"*"&amp;$A14&amp;"*",Book!J:J)</f>
        <v/>
      </c>
      <c r="D14" s="4">
        <f>SUMIF(Book!$C:$C,"*"&amp;$A14&amp;"*",Book!L:L)</f>
        <v/>
      </c>
      <c r="E14" s="4">
        <f>SUMIF(Book!$C:$C,"*"&amp;$A14&amp;"*",Book!M:M)</f>
        <v/>
      </c>
      <c r="F14" s="4">
        <f>SUMIF(Book!$C:$C,"*"&amp;$A14&amp;"*",Book!N:N)</f>
        <v/>
      </c>
      <c r="G14" s="4">
        <f>SUMIF(Book!$C:$C,"*"&amp;$A14&amp;"*",Book!O:O)</f>
        <v/>
      </c>
      <c r="H14" t="n">
        <v>0</v>
      </c>
      <c r="I14" s="4">
        <f>SUMIF('GSTR-2B'!$C:$C,"*"&amp;$A14&amp;"*",'GSTR-2B'!J:J)</f>
        <v/>
      </c>
      <c r="J14" s="4">
        <f>SUMIF('GSTR-2B'!$C:$C,"*"&amp;$A14&amp;"*",'GSTR-2B'!L:L)</f>
        <v/>
      </c>
      <c r="K14" s="4">
        <f>SUMIF('GSTR-2B'!$C:$C,"*"&amp;$A14&amp;"*",'GSTR-2B'!M:M)</f>
        <v/>
      </c>
      <c r="L14" s="4">
        <f>SUMIF('GSTR-2B'!$C:$C,"*"&amp;$A14&amp;"*",'GSTR-2B'!N:N)</f>
        <v/>
      </c>
      <c r="M14" s="4">
        <f>SUMIF('GSTR-2B'!$C:$C,"*"&amp;$A14&amp;"*",'GSTR-2B'!O:O)</f>
        <v/>
      </c>
      <c r="N14" t="n">
        <v>0</v>
      </c>
      <c r="O14" s="4">
        <f>+C14-I14</f>
        <v/>
      </c>
      <c r="P14" s="4">
        <f>+D14-J14</f>
        <v/>
      </c>
      <c r="Q14" s="4">
        <f>+E14-K14</f>
        <v/>
      </c>
      <c r="R14" s="4">
        <f>+F14-L14</f>
        <v/>
      </c>
      <c r="S14" s="4">
        <f>+G14-M14</f>
        <v/>
      </c>
      <c r="T14" s="5" t="inlineStr">
        <is>
          <t>Book And 2B Match</t>
        </is>
      </c>
    </row>
    <row r="15">
      <c r="A15" t="inlineStr">
        <is>
          <t>AAECR8945A</t>
        </is>
      </c>
      <c r="B15" t="n">
        <v>0</v>
      </c>
      <c r="C15" s="4">
        <f>SUMIF(Book!$C:$C,"*"&amp;$A15&amp;"*",Book!J:J)</f>
        <v/>
      </c>
      <c r="D15" s="4">
        <f>SUMIF(Book!$C:$C,"*"&amp;$A15&amp;"*",Book!L:L)</f>
        <v/>
      </c>
      <c r="E15" s="4">
        <f>SUMIF(Book!$C:$C,"*"&amp;$A15&amp;"*",Book!M:M)</f>
        <v/>
      </c>
      <c r="F15" s="4">
        <f>SUMIF(Book!$C:$C,"*"&amp;$A15&amp;"*",Book!N:N)</f>
        <v/>
      </c>
      <c r="G15" s="4">
        <f>SUMIF(Book!$C:$C,"*"&amp;$A15&amp;"*",Book!O:O)</f>
        <v/>
      </c>
      <c r="H15" t="n">
        <v>0</v>
      </c>
      <c r="I15" s="4">
        <f>SUMIF('GSTR-2B'!$C:$C,"*"&amp;$A15&amp;"*",'GSTR-2B'!J:J)</f>
        <v/>
      </c>
      <c r="J15" s="4">
        <f>SUMIF('GSTR-2B'!$C:$C,"*"&amp;$A15&amp;"*",'GSTR-2B'!L:L)</f>
        <v/>
      </c>
      <c r="K15" s="4">
        <f>SUMIF('GSTR-2B'!$C:$C,"*"&amp;$A15&amp;"*",'GSTR-2B'!M:M)</f>
        <v/>
      </c>
      <c r="L15" s="4">
        <f>SUMIF('GSTR-2B'!$C:$C,"*"&amp;$A15&amp;"*",'GSTR-2B'!N:N)</f>
        <v/>
      </c>
      <c r="M15" s="4">
        <f>SUMIF('GSTR-2B'!$C:$C,"*"&amp;$A15&amp;"*",'GSTR-2B'!O:O)</f>
        <v/>
      </c>
      <c r="N15" t="n">
        <v>0</v>
      </c>
      <c r="O15" s="4">
        <f>+C15-I15</f>
        <v/>
      </c>
      <c r="P15" s="4">
        <f>+D15-J15</f>
        <v/>
      </c>
      <c r="Q15" s="4">
        <f>+E15-K15</f>
        <v/>
      </c>
      <c r="R15" s="4">
        <f>+F15-L15</f>
        <v/>
      </c>
      <c r="S15" s="4">
        <f>+G15-M15</f>
        <v/>
      </c>
      <c r="T15" s="5" t="inlineStr">
        <is>
          <t>Book And 2B Match</t>
        </is>
      </c>
    </row>
    <row r="16">
      <c r="A16" t="inlineStr">
        <is>
          <t>AAGCB5066J</t>
        </is>
      </c>
      <c r="B16" t="n">
        <v>0</v>
      </c>
      <c r="C16" s="4">
        <f>SUMIF(Book!$C:$C,"*"&amp;$A16&amp;"*",Book!J:J)</f>
        <v/>
      </c>
      <c r="D16" s="4">
        <f>SUMIF(Book!$C:$C,"*"&amp;$A16&amp;"*",Book!L:L)</f>
        <v/>
      </c>
      <c r="E16" s="4">
        <f>SUMIF(Book!$C:$C,"*"&amp;$A16&amp;"*",Book!M:M)</f>
        <v/>
      </c>
      <c r="F16" s="4">
        <f>SUMIF(Book!$C:$C,"*"&amp;$A16&amp;"*",Book!N:N)</f>
        <v/>
      </c>
      <c r="G16" s="4">
        <f>SUMIF(Book!$C:$C,"*"&amp;$A16&amp;"*",Book!O:O)</f>
        <v/>
      </c>
      <c r="H16" t="n">
        <v>0</v>
      </c>
      <c r="I16" s="4">
        <f>SUMIF('GSTR-2B'!$C:$C,"*"&amp;$A16&amp;"*",'GSTR-2B'!J:J)</f>
        <v/>
      </c>
      <c r="J16" s="4">
        <f>SUMIF('GSTR-2B'!$C:$C,"*"&amp;$A16&amp;"*",'GSTR-2B'!L:L)</f>
        <v/>
      </c>
      <c r="K16" s="4">
        <f>SUMIF('GSTR-2B'!$C:$C,"*"&amp;$A16&amp;"*",'GSTR-2B'!M:M)</f>
        <v/>
      </c>
      <c r="L16" s="4">
        <f>SUMIF('GSTR-2B'!$C:$C,"*"&amp;$A16&amp;"*",'GSTR-2B'!N:N)</f>
        <v/>
      </c>
      <c r="M16" s="4">
        <f>SUMIF('GSTR-2B'!$C:$C,"*"&amp;$A16&amp;"*",'GSTR-2B'!O:O)</f>
        <v/>
      </c>
      <c r="N16" t="n">
        <v>0</v>
      </c>
      <c r="O16" s="4">
        <f>+C16-I16</f>
        <v/>
      </c>
      <c r="P16" s="4">
        <f>+D16-J16</f>
        <v/>
      </c>
      <c r="Q16" s="4">
        <f>+E16-K16</f>
        <v/>
      </c>
      <c r="R16" s="4">
        <f>+F16-L16</f>
        <v/>
      </c>
      <c r="S16" s="4">
        <f>+G16-M16</f>
        <v/>
      </c>
      <c r="T16" s="5" t="inlineStr">
        <is>
          <t>Book And 2B Match</t>
        </is>
      </c>
    </row>
    <row r="17">
      <c r="A17" t="inlineStr">
        <is>
          <t>AAHCT4293N</t>
        </is>
      </c>
      <c r="B17" t="n">
        <v>0</v>
      </c>
      <c r="C17" s="4">
        <f>SUMIF(Book!$C:$C,"*"&amp;$A17&amp;"*",Book!J:J)</f>
        <v/>
      </c>
      <c r="D17" s="4">
        <f>SUMIF(Book!$C:$C,"*"&amp;$A17&amp;"*",Book!L:L)</f>
        <v/>
      </c>
      <c r="E17" s="4">
        <f>SUMIF(Book!$C:$C,"*"&amp;$A17&amp;"*",Book!M:M)</f>
        <v/>
      </c>
      <c r="F17" s="4">
        <f>SUMIF(Book!$C:$C,"*"&amp;$A17&amp;"*",Book!N:N)</f>
        <v/>
      </c>
      <c r="G17" s="4">
        <f>SUMIF(Book!$C:$C,"*"&amp;$A17&amp;"*",Book!O:O)</f>
        <v/>
      </c>
      <c r="H17" t="n">
        <v>0</v>
      </c>
      <c r="I17" s="4">
        <f>SUMIF('GSTR-2B'!$C:$C,"*"&amp;$A17&amp;"*",'GSTR-2B'!J:J)</f>
        <v/>
      </c>
      <c r="J17" s="4">
        <f>SUMIF('GSTR-2B'!$C:$C,"*"&amp;$A17&amp;"*",'GSTR-2B'!L:L)</f>
        <v/>
      </c>
      <c r="K17" s="4">
        <f>SUMIF('GSTR-2B'!$C:$C,"*"&amp;$A17&amp;"*",'GSTR-2B'!M:M)</f>
        <v/>
      </c>
      <c r="L17" s="4">
        <f>SUMIF('GSTR-2B'!$C:$C,"*"&amp;$A17&amp;"*",'GSTR-2B'!N:N)</f>
        <v/>
      </c>
      <c r="M17" s="4">
        <f>SUMIF('GSTR-2B'!$C:$C,"*"&amp;$A17&amp;"*",'GSTR-2B'!O:O)</f>
        <v/>
      </c>
      <c r="N17" t="n">
        <v>0</v>
      </c>
      <c r="O17" s="4">
        <f>+C17-I17</f>
        <v/>
      </c>
      <c r="P17" s="4">
        <f>+D17-J17</f>
        <v/>
      </c>
      <c r="Q17" s="4">
        <f>+E17-K17</f>
        <v/>
      </c>
      <c r="R17" s="4">
        <f>+F17-L17</f>
        <v/>
      </c>
      <c r="S17" s="4">
        <f>+G17-M17</f>
        <v/>
      </c>
      <c r="T17" s="6" t="inlineStr">
        <is>
          <t>Book And 2B Mis-Match</t>
        </is>
      </c>
    </row>
    <row r="18">
      <c r="A18" t="inlineStr">
        <is>
          <t>AAICT8273F</t>
        </is>
      </c>
      <c r="B18" t="n">
        <v>0</v>
      </c>
      <c r="C18" s="4">
        <f>SUMIF(Book!$C:$C,"*"&amp;$A18&amp;"*",Book!J:J)</f>
        <v/>
      </c>
      <c r="D18" s="4">
        <f>SUMIF(Book!$C:$C,"*"&amp;$A18&amp;"*",Book!L:L)</f>
        <v/>
      </c>
      <c r="E18" s="4">
        <f>SUMIF(Book!$C:$C,"*"&amp;$A18&amp;"*",Book!M:M)</f>
        <v/>
      </c>
      <c r="F18" s="4">
        <f>SUMIF(Book!$C:$C,"*"&amp;$A18&amp;"*",Book!N:N)</f>
        <v/>
      </c>
      <c r="G18" s="4">
        <f>SUMIF(Book!$C:$C,"*"&amp;$A18&amp;"*",Book!O:O)</f>
        <v/>
      </c>
      <c r="H18" t="n">
        <v>0</v>
      </c>
      <c r="I18" s="4">
        <f>SUMIF('GSTR-2B'!$C:$C,"*"&amp;$A18&amp;"*",'GSTR-2B'!J:J)</f>
        <v/>
      </c>
      <c r="J18" s="4">
        <f>SUMIF('GSTR-2B'!$C:$C,"*"&amp;$A18&amp;"*",'GSTR-2B'!L:L)</f>
        <v/>
      </c>
      <c r="K18" s="4">
        <f>SUMIF('GSTR-2B'!$C:$C,"*"&amp;$A18&amp;"*",'GSTR-2B'!M:M)</f>
        <v/>
      </c>
      <c r="L18" s="4">
        <f>SUMIF('GSTR-2B'!$C:$C,"*"&amp;$A18&amp;"*",'GSTR-2B'!N:N)</f>
        <v/>
      </c>
      <c r="M18" s="4">
        <f>SUMIF('GSTR-2B'!$C:$C,"*"&amp;$A18&amp;"*",'GSTR-2B'!O:O)</f>
        <v/>
      </c>
      <c r="N18" t="n">
        <v>0</v>
      </c>
      <c r="O18" s="4">
        <f>+C18-I18</f>
        <v/>
      </c>
      <c r="P18" s="4">
        <f>+D18-J18</f>
        <v/>
      </c>
      <c r="Q18" s="4">
        <f>+E18-K18</f>
        <v/>
      </c>
      <c r="R18" s="4">
        <f>+F18-L18</f>
        <v/>
      </c>
      <c r="S18" s="4">
        <f>+G18-M18</f>
        <v/>
      </c>
      <c r="T18" s="5" t="inlineStr">
        <is>
          <t>Book And 2B Match</t>
        </is>
      </c>
    </row>
    <row r="19">
      <c r="A19" t="inlineStr">
        <is>
          <t>AAKCG3365R</t>
        </is>
      </c>
      <c r="B19" t="n">
        <v>0</v>
      </c>
      <c r="C19" s="4">
        <f>SUMIF(Book!$C:$C,"*"&amp;$A19&amp;"*",Book!J:J)</f>
        <v/>
      </c>
      <c r="D19" s="4">
        <f>SUMIF(Book!$C:$C,"*"&amp;$A19&amp;"*",Book!L:L)</f>
        <v/>
      </c>
      <c r="E19" s="4">
        <f>SUMIF(Book!$C:$C,"*"&amp;$A19&amp;"*",Book!M:M)</f>
        <v/>
      </c>
      <c r="F19" s="4">
        <f>SUMIF(Book!$C:$C,"*"&amp;$A19&amp;"*",Book!N:N)</f>
        <v/>
      </c>
      <c r="G19" s="4">
        <f>SUMIF(Book!$C:$C,"*"&amp;$A19&amp;"*",Book!O:O)</f>
        <v/>
      </c>
      <c r="H19" t="n">
        <v>0</v>
      </c>
      <c r="I19" s="4">
        <f>SUMIF('GSTR-2B'!$C:$C,"*"&amp;$A19&amp;"*",'GSTR-2B'!J:J)</f>
        <v/>
      </c>
      <c r="J19" s="4">
        <f>SUMIF('GSTR-2B'!$C:$C,"*"&amp;$A19&amp;"*",'GSTR-2B'!L:L)</f>
        <v/>
      </c>
      <c r="K19" s="4">
        <f>SUMIF('GSTR-2B'!$C:$C,"*"&amp;$A19&amp;"*",'GSTR-2B'!M:M)</f>
        <v/>
      </c>
      <c r="L19" s="4">
        <f>SUMIF('GSTR-2B'!$C:$C,"*"&amp;$A19&amp;"*",'GSTR-2B'!N:N)</f>
        <v/>
      </c>
      <c r="M19" s="4">
        <f>SUMIF('GSTR-2B'!$C:$C,"*"&amp;$A19&amp;"*",'GSTR-2B'!O:O)</f>
        <v/>
      </c>
      <c r="N19" t="n">
        <v>0</v>
      </c>
      <c r="O19" s="4">
        <f>+C19-I19</f>
        <v/>
      </c>
      <c r="P19" s="4">
        <f>+D19-J19</f>
        <v/>
      </c>
      <c r="Q19" s="4">
        <f>+E19-K19</f>
        <v/>
      </c>
      <c r="R19" s="4">
        <f>+F19-L19</f>
        <v/>
      </c>
      <c r="S19" s="4">
        <f>+G19-M19</f>
        <v/>
      </c>
      <c r="T19" s="6" t="inlineStr">
        <is>
          <t>Book And 2B Mis-Match</t>
        </is>
      </c>
    </row>
    <row r="20">
      <c r="A20" t="inlineStr">
        <is>
          <t>AALCB9501D</t>
        </is>
      </c>
      <c r="B20" t="n">
        <v>0</v>
      </c>
      <c r="C20" s="4">
        <f>SUMIF(Book!$C:$C,"*"&amp;$A20&amp;"*",Book!J:J)</f>
        <v/>
      </c>
      <c r="D20" s="4">
        <f>SUMIF(Book!$C:$C,"*"&amp;$A20&amp;"*",Book!L:L)</f>
        <v/>
      </c>
      <c r="E20" s="4">
        <f>SUMIF(Book!$C:$C,"*"&amp;$A20&amp;"*",Book!M:M)</f>
        <v/>
      </c>
      <c r="F20" s="4">
        <f>SUMIF(Book!$C:$C,"*"&amp;$A20&amp;"*",Book!N:N)</f>
        <v/>
      </c>
      <c r="G20" s="4">
        <f>SUMIF(Book!$C:$C,"*"&amp;$A20&amp;"*",Book!O:O)</f>
        <v/>
      </c>
      <c r="H20" t="n">
        <v>0</v>
      </c>
      <c r="I20" s="4">
        <f>SUMIF('GSTR-2B'!$C:$C,"*"&amp;$A20&amp;"*",'GSTR-2B'!J:J)</f>
        <v/>
      </c>
      <c r="J20" s="4">
        <f>SUMIF('GSTR-2B'!$C:$C,"*"&amp;$A20&amp;"*",'GSTR-2B'!L:L)</f>
        <v/>
      </c>
      <c r="K20" s="4">
        <f>SUMIF('GSTR-2B'!$C:$C,"*"&amp;$A20&amp;"*",'GSTR-2B'!M:M)</f>
        <v/>
      </c>
      <c r="L20" s="4">
        <f>SUMIF('GSTR-2B'!$C:$C,"*"&amp;$A20&amp;"*",'GSTR-2B'!N:N)</f>
        <v/>
      </c>
      <c r="M20" s="4">
        <f>SUMIF('GSTR-2B'!$C:$C,"*"&amp;$A20&amp;"*",'GSTR-2B'!O:O)</f>
        <v/>
      </c>
      <c r="N20" t="n">
        <v>0</v>
      </c>
      <c r="O20" s="4">
        <f>+C20-I20</f>
        <v/>
      </c>
      <c r="P20" s="4">
        <f>+D20-J20</f>
        <v/>
      </c>
      <c r="Q20" s="4">
        <f>+E20-K20</f>
        <v/>
      </c>
      <c r="R20" s="4">
        <f>+F20-L20</f>
        <v/>
      </c>
      <c r="S20" s="4">
        <f>+G20-M20</f>
        <v/>
      </c>
      <c r="T20" s="5" t="inlineStr">
        <is>
          <t>Book And 2B Match</t>
        </is>
      </c>
    </row>
    <row r="21">
      <c r="A21" t="inlineStr">
        <is>
          <t>AALCR1836M</t>
        </is>
      </c>
      <c r="B21" t="n">
        <v>0</v>
      </c>
      <c r="C21" s="4">
        <f>SUMIF(Book!$C:$C,"*"&amp;$A21&amp;"*",Book!J:J)</f>
        <v/>
      </c>
      <c r="D21" s="4">
        <f>SUMIF(Book!$C:$C,"*"&amp;$A21&amp;"*",Book!L:L)</f>
        <v/>
      </c>
      <c r="E21" s="4">
        <f>SUMIF(Book!$C:$C,"*"&amp;$A21&amp;"*",Book!M:M)</f>
        <v/>
      </c>
      <c r="F21" s="4">
        <f>SUMIF(Book!$C:$C,"*"&amp;$A21&amp;"*",Book!N:N)</f>
        <v/>
      </c>
      <c r="G21" s="4">
        <f>SUMIF(Book!$C:$C,"*"&amp;$A21&amp;"*",Book!O:O)</f>
        <v/>
      </c>
      <c r="H21" t="n">
        <v>0</v>
      </c>
      <c r="I21" s="4">
        <f>SUMIF('GSTR-2B'!$C:$C,"*"&amp;$A21&amp;"*",'GSTR-2B'!J:J)</f>
        <v/>
      </c>
      <c r="J21" s="4">
        <f>SUMIF('GSTR-2B'!$C:$C,"*"&amp;$A21&amp;"*",'GSTR-2B'!L:L)</f>
        <v/>
      </c>
      <c r="K21" s="4">
        <f>SUMIF('GSTR-2B'!$C:$C,"*"&amp;$A21&amp;"*",'GSTR-2B'!M:M)</f>
        <v/>
      </c>
      <c r="L21" s="4">
        <f>SUMIF('GSTR-2B'!$C:$C,"*"&amp;$A21&amp;"*",'GSTR-2B'!N:N)</f>
        <v/>
      </c>
      <c r="M21" s="4">
        <f>SUMIF('GSTR-2B'!$C:$C,"*"&amp;$A21&amp;"*",'GSTR-2B'!O:O)</f>
        <v/>
      </c>
      <c r="N21" t="n">
        <v>0</v>
      </c>
      <c r="O21" s="4">
        <f>+C21-I21</f>
        <v/>
      </c>
      <c r="P21" s="4">
        <f>+D21-J21</f>
        <v/>
      </c>
      <c r="Q21" s="4">
        <f>+E21-K21</f>
        <v/>
      </c>
      <c r="R21" s="4">
        <f>+F21-L21</f>
        <v/>
      </c>
      <c r="S21" s="4">
        <f>+G21-M21</f>
        <v/>
      </c>
      <c r="T21" s="5" t="inlineStr">
        <is>
          <t>Book And 2B Match</t>
        </is>
      </c>
    </row>
    <row r="22">
      <c r="A22" t="inlineStr">
        <is>
          <t>AANFJ4391E</t>
        </is>
      </c>
      <c r="B22" t="n">
        <v>0</v>
      </c>
      <c r="C22" s="4">
        <f>SUMIF(Book!$C:$C,"*"&amp;$A22&amp;"*",Book!J:J)</f>
        <v/>
      </c>
      <c r="D22" s="4">
        <f>SUMIF(Book!$C:$C,"*"&amp;$A22&amp;"*",Book!L:L)</f>
        <v/>
      </c>
      <c r="E22" s="4">
        <f>SUMIF(Book!$C:$C,"*"&amp;$A22&amp;"*",Book!M:M)</f>
        <v/>
      </c>
      <c r="F22" s="4">
        <f>SUMIF(Book!$C:$C,"*"&amp;$A22&amp;"*",Book!N:N)</f>
        <v/>
      </c>
      <c r="G22" s="4">
        <f>SUMIF(Book!$C:$C,"*"&amp;$A22&amp;"*",Book!O:O)</f>
        <v/>
      </c>
      <c r="H22" t="n">
        <v>0</v>
      </c>
      <c r="I22" s="4">
        <f>SUMIF('GSTR-2B'!$C:$C,"*"&amp;$A22&amp;"*",'GSTR-2B'!J:J)</f>
        <v/>
      </c>
      <c r="J22" s="4">
        <f>SUMIF('GSTR-2B'!$C:$C,"*"&amp;$A22&amp;"*",'GSTR-2B'!L:L)</f>
        <v/>
      </c>
      <c r="K22" s="4">
        <f>SUMIF('GSTR-2B'!$C:$C,"*"&amp;$A22&amp;"*",'GSTR-2B'!M:M)</f>
        <v/>
      </c>
      <c r="L22" s="4">
        <f>SUMIF('GSTR-2B'!$C:$C,"*"&amp;$A22&amp;"*",'GSTR-2B'!N:N)</f>
        <v/>
      </c>
      <c r="M22" s="4">
        <f>SUMIF('GSTR-2B'!$C:$C,"*"&amp;$A22&amp;"*",'GSTR-2B'!O:O)</f>
        <v/>
      </c>
      <c r="N22" t="n">
        <v>0</v>
      </c>
      <c r="O22" s="4">
        <f>+C22-I22</f>
        <v/>
      </c>
      <c r="P22" s="4">
        <f>+D22-J22</f>
        <v/>
      </c>
      <c r="Q22" s="4">
        <f>+E22-K22</f>
        <v/>
      </c>
      <c r="R22" s="4">
        <f>+F22-L22</f>
        <v/>
      </c>
      <c r="S22" s="4">
        <f>+G22-M22</f>
        <v/>
      </c>
      <c r="T22" s="5" t="inlineStr">
        <is>
          <t>Book And 2B Match</t>
        </is>
      </c>
    </row>
    <row r="23">
      <c r="A23" t="inlineStr">
        <is>
          <t>AAOCS8108A</t>
        </is>
      </c>
      <c r="B23" t="n">
        <v>0</v>
      </c>
      <c r="C23" s="4">
        <f>SUMIF(Book!$C:$C,"*"&amp;$A23&amp;"*",Book!J:J)</f>
        <v/>
      </c>
      <c r="D23" s="4">
        <f>SUMIF(Book!$C:$C,"*"&amp;$A23&amp;"*",Book!L:L)</f>
        <v/>
      </c>
      <c r="E23" s="4">
        <f>SUMIF(Book!$C:$C,"*"&amp;$A23&amp;"*",Book!M:M)</f>
        <v/>
      </c>
      <c r="F23" s="4">
        <f>SUMIF(Book!$C:$C,"*"&amp;$A23&amp;"*",Book!N:N)</f>
        <v/>
      </c>
      <c r="G23" s="4">
        <f>SUMIF(Book!$C:$C,"*"&amp;$A23&amp;"*",Book!O:O)</f>
        <v/>
      </c>
      <c r="H23" t="n">
        <v>0</v>
      </c>
      <c r="I23" s="4">
        <f>SUMIF('GSTR-2B'!$C:$C,"*"&amp;$A23&amp;"*",'GSTR-2B'!J:J)</f>
        <v/>
      </c>
      <c r="J23" s="4">
        <f>SUMIF('GSTR-2B'!$C:$C,"*"&amp;$A23&amp;"*",'GSTR-2B'!L:L)</f>
        <v/>
      </c>
      <c r="K23" s="4">
        <f>SUMIF('GSTR-2B'!$C:$C,"*"&amp;$A23&amp;"*",'GSTR-2B'!M:M)</f>
        <v/>
      </c>
      <c r="L23" s="4">
        <f>SUMIF('GSTR-2B'!$C:$C,"*"&amp;$A23&amp;"*",'GSTR-2B'!N:N)</f>
        <v/>
      </c>
      <c r="M23" s="4">
        <f>SUMIF('GSTR-2B'!$C:$C,"*"&amp;$A23&amp;"*",'GSTR-2B'!O:O)</f>
        <v/>
      </c>
      <c r="N23" t="n">
        <v>0</v>
      </c>
      <c r="O23" s="4">
        <f>+C23-I23</f>
        <v/>
      </c>
      <c r="P23" s="4">
        <f>+D23-J23</f>
        <v/>
      </c>
      <c r="Q23" s="4">
        <f>+E23-K23</f>
        <v/>
      </c>
      <c r="R23" s="4">
        <f>+F23-L23</f>
        <v/>
      </c>
      <c r="S23" s="4">
        <f>+G23-M23</f>
        <v/>
      </c>
      <c r="T23" s="6" t="inlineStr">
        <is>
          <t xml:space="preserve">Only for the 2B </t>
        </is>
      </c>
    </row>
    <row r="24">
      <c r="A24" t="inlineStr">
        <is>
          <t>AAPCS9984F</t>
        </is>
      </c>
      <c r="B24" t="n">
        <v>0</v>
      </c>
      <c r="C24" s="4">
        <f>SUMIF(Book!$C:$C,"*"&amp;$A24&amp;"*",Book!J:J)</f>
        <v/>
      </c>
      <c r="D24" s="4">
        <f>SUMIF(Book!$C:$C,"*"&amp;$A24&amp;"*",Book!L:L)</f>
        <v/>
      </c>
      <c r="E24" s="4">
        <f>SUMIF(Book!$C:$C,"*"&amp;$A24&amp;"*",Book!M:M)</f>
        <v/>
      </c>
      <c r="F24" s="4">
        <f>SUMIF(Book!$C:$C,"*"&amp;$A24&amp;"*",Book!N:N)</f>
        <v/>
      </c>
      <c r="G24" s="4">
        <f>SUMIF(Book!$C:$C,"*"&amp;$A24&amp;"*",Book!O:O)</f>
        <v/>
      </c>
      <c r="H24" t="n">
        <v>0</v>
      </c>
      <c r="I24" s="4">
        <f>SUMIF('GSTR-2B'!$C:$C,"*"&amp;$A24&amp;"*",'GSTR-2B'!J:J)</f>
        <v/>
      </c>
      <c r="J24" s="4">
        <f>SUMIF('GSTR-2B'!$C:$C,"*"&amp;$A24&amp;"*",'GSTR-2B'!L:L)</f>
        <v/>
      </c>
      <c r="K24" s="4">
        <f>SUMIF('GSTR-2B'!$C:$C,"*"&amp;$A24&amp;"*",'GSTR-2B'!M:M)</f>
        <v/>
      </c>
      <c r="L24" s="4">
        <f>SUMIF('GSTR-2B'!$C:$C,"*"&amp;$A24&amp;"*",'GSTR-2B'!N:N)</f>
        <v/>
      </c>
      <c r="M24" s="4">
        <f>SUMIF('GSTR-2B'!$C:$C,"*"&amp;$A24&amp;"*",'GSTR-2B'!O:O)</f>
        <v/>
      </c>
      <c r="N24" t="n">
        <v>0</v>
      </c>
      <c r="O24" s="4">
        <f>+C24-I24</f>
        <v/>
      </c>
      <c r="P24" s="4">
        <f>+D24-J24</f>
        <v/>
      </c>
      <c r="Q24" s="4">
        <f>+E24-K24</f>
        <v/>
      </c>
      <c r="R24" s="4">
        <f>+F24-L24</f>
        <v/>
      </c>
      <c r="S24" s="4">
        <f>+G24-M24</f>
        <v/>
      </c>
      <c r="T24" s="5" t="inlineStr">
        <is>
          <t>Book And 2B Match</t>
        </is>
      </c>
    </row>
    <row r="25">
      <c r="A25" t="inlineStr">
        <is>
          <t>AAQCM8669N</t>
        </is>
      </c>
      <c r="B25" t="n">
        <v>0</v>
      </c>
      <c r="C25" s="4">
        <f>SUMIF(Book!$C:$C,"*"&amp;$A25&amp;"*",Book!J:J)</f>
        <v/>
      </c>
      <c r="D25" s="4">
        <f>SUMIF(Book!$C:$C,"*"&amp;$A25&amp;"*",Book!L:L)</f>
        <v/>
      </c>
      <c r="E25" s="4">
        <f>SUMIF(Book!$C:$C,"*"&amp;$A25&amp;"*",Book!M:M)</f>
        <v/>
      </c>
      <c r="F25" s="4">
        <f>SUMIF(Book!$C:$C,"*"&amp;$A25&amp;"*",Book!N:N)</f>
        <v/>
      </c>
      <c r="G25" s="4">
        <f>SUMIF(Book!$C:$C,"*"&amp;$A25&amp;"*",Book!O:O)</f>
        <v/>
      </c>
      <c r="H25" t="n">
        <v>0</v>
      </c>
      <c r="I25" s="4">
        <f>SUMIF('GSTR-2B'!$C:$C,"*"&amp;$A25&amp;"*",'GSTR-2B'!J:J)</f>
        <v/>
      </c>
      <c r="J25" s="4">
        <f>SUMIF('GSTR-2B'!$C:$C,"*"&amp;$A25&amp;"*",'GSTR-2B'!L:L)</f>
        <v/>
      </c>
      <c r="K25" s="4">
        <f>SUMIF('GSTR-2B'!$C:$C,"*"&amp;$A25&amp;"*",'GSTR-2B'!M:M)</f>
        <v/>
      </c>
      <c r="L25" s="4">
        <f>SUMIF('GSTR-2B'!$C:$C,"*"&amp;$A25&amp;"*",'GSTR-2B'!N:N)</f>
        <v/>
      </c>
      <c r="M25" s="4">
        <f>SUMIF('GSTR-2B'!$C:$C,"*"&amp;$A25&amp;"*",'GSTR-2B'!O:O)</f>
        <v/>
      </c>
      <c r="N25" t="n">
        <v>0</v>
      </c>
      <c r="O25" s="4">
        <f>+C25-I25</f>
        <v/>
      </c>
      <c r="P25" s="4">
        <f>+D25-J25</f>
        <v/>
      </c>
      <c r="Q25" s="4">
        <f>+E25-K25</f>
        <v/>
      </c>
      <c r="R25" s="4">
        <f>+F25-L25</f>
        <v/>
      </c>
      <c r="S25" s="4">
        <f>+G25-M25</f>
        <v/>
      </c>
      <c r="T25" s="5" t="inlineStr">
        <is>
          <t>Book And 2B Match</t>
        </is>
      </c>
    </row>
    <row r="26">
      <c r="A26" t="inlineStr">
        <is>
          <t>AASCA5981H</t>
        </is>
      </c>
      <c r="B26" t="n">
        <v>0</v>
      </c>
      <c r="C26" s="4">
        <f>SUMIF(Book!$C:$C,"*"&amp;$A26&amp;"*",Book!J:J)</f>
        <v/>
      </c>
      <c r="D26" s="4">
        <f>SUMIF(Book!$C:$C,"*"&amp;$A26&amp;"*",Book!L:L)</f>
        <v/>
      </c>
      <c r="E26" s="4">
        <f>SUMIF(Book!$C:$C,"*"&amp;$A26&amp;"*",Book!M:M)</f>
        <v/>
      </c>
      <c r="F26" s="4">
        <f>SUMIF(Book!$C:$C,"*"&amp;$A26&amp;"*",Book!N:N)</f>
        <v/>
      </c>
      <c r="G26" s="4">
        <f>SUMIF(Book!$C:$C,"*"&amp;$A26&amp;"*",Book!O:O)</f>
        <v/>
      </c>
      <c r="H26" t="n">
        <v>0</v>
      </c>
      <c r="I26" s="4">
        <f>SUMIF('GSTR-2B'!$C:$C,"*"&amp;$A26&amp;"*",'GSTR-2B'!J:J)</f>
        <v/>
      </c>
      <c r="J26" s="4">
        <f>SUMIF('GSTR-2B'!$C:$C,"*"&amp;$A26&amp;"*",'GSTR-2B'!L:L)</f>
        <v/>
      </c>
      <c r="K26" s="4">
        <f>SUMIF('GSTR-2B'!$C:$C,"*"&amp;$A26&amp;"*",'GSTR-2B'!M:M)</f>
        <v/>
      </c>
      <c r="L26" s="4">
        <f>SUMIF('GSTR-2B'!$C:$C,"*"&amp;$A26&amp;"*",'GSTR-2B'!N:N)</f>
        <v/>
      </c>
      <c r="M26" s="4">
        <f>SUMIF('GSTR-2B'!$C:$C,"*"&amp;$A26&amp;"*",'GSTR-2B'!O:O)</f>
        <v/>
      </c>
      <c r="N26" t="n">
        <v>0</v>
      </c>
      <c r="O26" s="4">
        <f>+C26-I26</f>
        <v/>
      </c>
      <c r="P26" s="4">
        <f>+D26-J26</f>
        <v/>
      </c>
      <c r="Q26" s="4">
        <f>+E26-K26</f>
        <v/>
      </c>
      <c r="R26" s="4">
        <f>+F26-L26</f>
        <v/>
      </c>
      <c r="S26" s="4">
        <f>+G26-M26</f>
        <v/>
      </c>
      <c r="T26" s="5" t="inlineStr">
        <is>
          <t>Book And 2B Match</t>
        </is>
      </c>
    </row>
    <row r="27">
      <c r="A27" t="inlineStr">
        <is>
          <t>AAWFM3818Q</t>
        </is>
      </c>
      <c r="B27" t="n">
        <v>0</v>
      </c>
      <c r="C27" s="4">
        <f>SUMIF(Book!$C:$C,"*"&amp;$A27&amp;"*",Book!J:J)</f>
        <v/>
      </c>
      <c r="D27" s="4">
        <f>SUMIF(Book!$C:$C,"*"&amp;$A27&amp;"*",Book!L:L)</f>
        <v/>
      </c>
      <c r="E27" s="4">
        <f>SUMIF(Book!$C:$C,"*"&amp;$A27&amp;"*",Book!M:M)</f>
        <v/>
      </c>
      <c r="F27" s="4">
        <f>SUMIF(Book!$C:$C,"*"&amp;$A27&amp;"*",Book!N:N)</f>
        <v/>
      </c>
      <c r="G27" s="4">
        <f>SUMIF(Book!$C:$C,"*"&amp;$A27&amp;"*",Book!O:O)</f>
        <v/>
      </c>
      <c r="H27" t="n">
        <v>0</v>
      </c>
      <c r="I27" s="4">
        <f>SUMIF('GSTR-2B'!$C:$C,"*"&amp;$A27&amp;"*",'GSTR-2B'!J:J)</f>
        <v/>
      </c>
      <c r="J27" s="4">
        <f>SUMIF('GSTR-2B'!$C:$C,"*"&amp;$A27&amp;"*",'GSTR-2B'!L:L)</f>
        <v/>
      </c>
      <c r="K27" s="4">
        <f>SUMIF('GSTR-2B'!$C:$C,"*"&amp;$A27&amp;"*",'GSTR-2B'!M:M)</f>
        <v/>
      </c>
      <c r="L27" s="4">
        <f>SUMIF('GSTR-2B'!$C:$C,"*"&amp;$A27&amp;"*",'GSTR-2B'!N:N)</f>
        <v/>
      </c>
      <c r="M27" s="4">
        <f>SUMIF('GSTR-2B'!$C:$C,"*"&amp;$A27&amp;"*",'GSTR-2B'!O:O)</f>
        <v/>
      </c>
      <c r="N27" t="n">
        <v>0</v>
      </c>
      <c r="O27" s="4">
        <f>+C27-I27</f>
        <v/>
      </c>
      <c r="P27" s="4">
        <f>+D27-J27</f>
        <v/>
      </c>
      <c r="Q27" s="4">
        <f>+E27-K27</f>
        <v/>
      </c>
      <c r="R27" s="4">
        <f>+F27-L27</f>
        <v/>
      </c>
      <c r="S27" s="4">
        <f>+G27-M27</f>
        <v/>
      </c>
      <c r="T27" s="6" t="inlineStr">
        <is>
          <t>Book And 2B Mis-Match</t>
        </is>
      </c>
    </row>
    <row r="28">
      <c r="A28" t="inlineStr">
        <is>
          <t>ABDCS7338G</t>
        </is>
      </c>
      <c r="B28" t="n">
        <v>0</v>
      </c>
      <c r="C28" s="4">
        <f>SUMIF(Book!$C:$C,"*"&amp;$A28&amp;"*",Book!J:J)</f>
        <v/>
      </c>
      <c r="D28" s="4">
        <f>SUMIF(Book!$C:$C,"*"&amp;$A28&amp;"*",Book!L:L)</f>
        <v/>
      </c>
      <c r="E28" s="4">
        <f>SUMIF(Book!$C:$C,"*"&amp;$A28&amp;"*",Book!M:M)</f>
        <v/>
      </c>
      <c r="F28" s="4">
        <f>SUMIF(Book!$C:$C,"*"&amp;$A28&amp;"*",Book!N:N)</f>
        <v/>
      </c>
      <c r="G28" s="4">
        <f>SUMIF(Book!$C:$C,"*"&amp;$A28&amp;"*",Book!O:O)</f>
        <v/>
      </c>
      <c r="H28" t="n">
        <v>0</v>
      </c>
      <c r="I28" s="4">
        <f>SUMIF('GSTR-2B'!$C:$C,"*"&amp;$A28&amp;"*",'GSTR-2B'!J:J)</f>
        <v/>
      </c>
      <c r="J28" s="4">
        <f>SUMIF('GSTR-2B'!$C:$C,"*"&amp;$A28&amp;"*",'GSTR-2B'!L:L)</f>
        <v/>
      </c>
      <c r="K28" s="4">
        <f>SUMIF('GSTR-2B'!$C:$C,"*"&amp;$A28&amp;"*",'GSTR-2B'!M:M)</f>
        <v/>
      </c>
      <c r="L28" s="4">
        <f>SUMIF('GSTR-2B'!$C:$C,"*"&amp;$A28&amp;"*",'GSTR-2B'!N:N)</f>
        <v/>
      </c>
      <c r="M28" s="4">
        <f>SUMIF('GSTR-2B'!$C:$C,"*"&amp;$A28&amp;"*",'GSTR-2B'!O:O)</f>
        <v/>
      </c>
      <c r="N28" t="n">
        <v>0</v>
      </c>
      <c r="O28" s="4">
        <f>+C28-I28</f>
        <v/>
      </c>
      <c r="P28" s="4">
        <f>+D28-J28</f>
        <v/>
      </c>
      <c r="Q28" s="4">
        <f>+E28-K28</f>
        <v/>
      </c>
      <c r="R28" s="4">
        <f>+F28-L28</f>
        <v/>
      </c>
      <c r="S28" s="4">
        <f>+G28-M28</f>
        <v/>
      </c>
      <c r="T28" s="5" t="inlineStr">
        <is>
          <t>Book And 2B Match</t>
        </is>
      </c>
    </row>
    <row r="29">
      <c r="A29" t="inlineStr">
        <is>
          <t>ABHCS5775R</t>
        </is>
      </c>
      <c r="B29" t="n">
        <v>0</v>
      </c>
      <c r="C29" s="4">
        <f>SUMIF(Book!$C:$C,"*"&amp;$A29&amp;"*",Book!J:J)</f>
        <v/>
      </c>
      <c r="D29" s="4">
        <f>SUMIF(Book!$C:$C,"*"&amp;$A29&amp;"*",Book!L:L)</f>
        <v/>
      </c>
      <c r="E29" s="4">
        <f>SUMIF(Book!$C:$C,"*"&amp;$A29&amp;"*",Book!M:M)</f>
        <v/>
      </c>
      <c r="F29" s="4">
        <f>SUMIF(Book!$C:$C,"*"&amp;$A29&amp;"*",Book!N:N)</f>
        <v/>
      </c>
      <c r="G29" s="4">
        <f>SUMIF(Book!$C:$C,"*"&amp;$A29&amp;"*",Book!O:O)</f>
        <v/>
      </c>
      <c r="H29" t="n">
        <v>0</v>
      </c>
      <c r="I29" s="4">
        <f>SUMIF('GSTR-2B'!$C:$C,"*"&amp;$A29&amp;"*",'GSTR-2B'!J:J)</f>
        <v/>
      </c>
      <c r="J29" s="4">
        <f>SUMIF('GSTR-2B'!$C:$C,"*"&amp;$A29&amp;"*",'GSTR-2B'!L:L)</f>
        <v/>
      </c>
      <c r="K29" s="4">
        <f>SUMIF('GSTR-2B'!$C:$C,"*"&amp;$A29&amp;"*",'GSTR-2B'!M:M)</f>
        <v/>
      </c>
      <c r="L29" s="4">
        <f>SUMIF('GSTR-2B'!$C:$C,"*"&amp;$A29&amp;"*",'GSTR-2B'!N:N)</f>
        <v/>
      </c>
      <c r="M29" s="4">
        <f>SUMIF('GSTR-2B'!$C:$C,"*"&amp;$A29&amp;"*",'GSTR-2B'!O:O)</f>
        <v/>
      </c>
      <c r="N29" t="n">
        <v>0</v>
      </c>
      <c r="O29" s="4">
        <f>+C29-I29</f>
        <v/>
      </c>
      <c r="P29" s="4">
        <f>+D29-J29</f>
        <v/>
      </c>
      <c r="Q29" s="4">
        <f>+E29-K29</f>
        <v/>
      </c>
      <c r="R29" s="4">
        <f>+F29-L29</f>
        <v/>
      </c>
      <c r="S29" s="4">
        <f>+G29-M29</f>
        <v/>
      </c>
      <c r="T29" s="5" t="inlineStr">
        <is>
          <t>Book And 2B Match</t>
        </is>
      </c>
    </row>
    <row r="30">
      <c r="A30" t="inlineStr">
        <is>
          <t>BVDPM7213A</t>
        </is>
      </c>
      <c r="B30" t="n">
        <v>0</v>
      </c>
      <c r="C30" s="4">
        <f>SUMIF(Book!$C:$C,"*"&amp;$A30&amp;"*",Book!J:J)</f>
        <v/>
      </c>
      <c r="D30" s="4">
        <f>SUMIF(Book!$C:$C,"*"&amp;$A30&amp;"*",Book!L:L)</f>
        <v/>
      </c>
      <c r="E30" s="4">
        <f>SUMIF(Book!$C:$C,"*"&amp;$A30&amp;"*",Book!M:M)</f>
        <v/>
      </c>
      <c r="F30" s="4">
        <f>SUMIF(Book!$C:$C,"*"&amp;$A30&amp;"*",Book!N:N)</f>
        <v/>
      </c>
      <c r="G30" s="4">
        <f>SUMIF(Book!$C:$C,"*"&amp;$A30&amp;"*",Book!O:O)</f>
        <v/>
      </c>
      <c r="H30" t="n">
        <v>0</v>
      </c>
      <c r="I30" s="4">
        <f>SUMIF('GSTR-2B'!$C:$C,"*"&amp;$A30&amp;"*",'GSTR-2B'!J:J)</f>
        <v/>
      </c>
      <c r="J30" s="4">
        <f>SUMIF('GSTR-2B'!$C:$C,"*"&amp;$A30&amp;"*",'GSTR-2B'!L:L)</f>
        <v/>
      </c>
      <c r="K30" s="4">
        <f>SUMIF('GSTR-2B'!$C:$C,"*"&amp;$A30&amp;"*",'GSTR-2B'!M:M)</f>
        <v/>
      </c>
      <c r="L30" s="4">
        <f>SUMIF('GSTR-2B'!$C:$C,"*"&amp;$A30&amp;"*",'GSTR-2B'!N:N)</f>
        <v/>
      </c>
      <c r="M30" s="4">
        <f>SUMIF('GSTR-2B'!$C:$C,"*"&amp;$A30&amp;"*",'GSTR-2B'!O:O)</f>
        <v/>
      </c>
      <c r="N30" t="n">
        <v>0</v>
      </c>
      <c r="O30" s="4">
        <f>+C30-I30</f>
        <v/>
      </c>
      <c r="P30" s="4">
        <f>+D30-J30</f>
        <v/>
      </c>
      <c r="Q30" s="4">
        <f>+E30-K30</f>
        <v/>
      </c>
      <c r="R30" s="4">
        <f>+F30-L30</f>
        <v/>
      </c>
      <c r="S30" s="4">
        <f>+G30-M30</f>
        <v/>
      </c>
      <c r="T30" s="6" t="inlineStr">
        <is>
          <t xml:space="preserve">Only for the 2B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8" customWidth="1" min="4" max="4"/>
    <col width="13" customWidth="1" min="5" max="5"/>
    <col width="22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6" customWidth="1" min="14" max="14"/>
  </cols>
  <sheetData>
    <row r="1">
      <c r="A1" s="1" t="inlineStr">
        <is>
          <t>Duplicate Invoices Report</t>
        </is>
      </c>
    </row>
    <row r="2"/>
    <row r="3">
      <c r="A3" s="3" t="inlineStr">
        <is>
          <t>Source File</t>
        </is>
      </c>
      <c r="B3" s="3" t="inlineStr">
        <is>
          <t>Period</t>
        </is>
      </c>
      <c r="C3" s="3" t="inlineStr">
        <is>
          <t>Trade/Legal name</t>
        </is>
      </c>
      <c r="D3" s="3" t="inlineStr">
        <is>
          <t>GSTIN / PAN</t>
        </is>
      </c>
      <c r="E3" s="3" t="inlineStr">
        <is>
          <t>Invoice No</t>
        </is>
      </c>
      <c r="F3" s="3" t="inlineStr">
        <is>
          <t>Invoice Date</t>
        </is>
      </c>
      <c r="G3" s="3" t="inlineStr">
        <is>
          <t>Invoice Value</t>
        </is>
      </c>
      <c r="H3" s="3" t="inlineStr">
        <is>
          <t>Taxable Value</t>
        </is>
      </c>
      <c r="I3" s="3" t="inlineStr">
        <is>
          <t>Tax Rate</t>
        </is>
      </c>
      <c r="J3" s="3" t="inlineStr">
        <is>
          <t>IGST</t>
        </is>
      </c>
      <c r="K3" s="3" t="inlineStr">
        <is>
          <t>CGST</t>
        </is>
      </c>
      <c r="L3" s="3" t="inlineStr">
        <is>
          <t>SGST</t>
        </is>
      </c>
      <c r="M3" s="3" t="inlineStr">
        <is>
          <t>Cess</t>
        </is>
      </c>
      <c r="N3" s="3" t="inlineStr">
        <is>
          <t>Remarks</t>
        </is>
      </c>
    </row>
    <row r="4">
      <c r="A4" t="inlineStr">
        <is>
          <t>Book</t>
        </is>
      </c>
      <c r="B4" s="7" t="n">
        <v>46023</v>
      </c>
      <c r="C4" t="inlineStr">
        <is>
          <t>Genshi Solutions Private Limited</t>
        </is>
      </c>
      <c r="D4" t="inlineStr">
        <is>
          <t>06AAKCG3365R1ZX</t>
        </is>
      </c>
      <c r="E4" t="inlineStr">
        <is>
          <t>RC-3126</t>
        </is>
      </c>
      <c r="F4" s="7" t="n">
        <v>46009</v>
      </c>
      <c r="G4" s="4" t="n">
        <v>-88500</v>
      </c>
      <c r="H4" s="4" t="n">
        <v>-75000</v>
      </c>
      <c r="I4" t="n">
        <v>18</v>
      </c>
      <c r="J4" s="4" t="n">
        <v>-13500</v>
      </c>
      <c r="K4" s="4" t="n">
        <v>0</v>
      </c>
      <c r="L4" s="4" t="n">
        <v>0</v>
      </c>
      <c r="M4" s="4" t="n">
        <v>0</v>
      </c>
      <c r="N4" s="9" t="inlineStr">
        <is>
          <t>Duplicate invoice in Book (appears 2 times)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2026-10-16T06:50:24Z</dcterms:created>
  <dcterms:modified xmlns:dcterms="http://purl.org/dc/terms/" xmlns:xsi="http://www.w3.org/2001/XMLSchema-instance" xsi:type="dcterms:W3CDTF">2026-10-16T06:50:24Z</dcterms:modified>
</cp:coreProperties>
</file>