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dc1\D\Mumbai\2025-26\GST\GST Audit\Dove Soft Technology\"/>
    </mc:Choice>
  </mc:AlternateContent>
  <xr:revisionPtr revIDLastSave="0" documentId="13_ncr:1_{FADC08EE-9763-4985-B3F8-0C97FBCA9B7F}" xr6:coauthVersionLast="47" xr6:coauthVersionMax="47" xr10:uidLastSave="{00000000-0000-0000-0000-000000000000}"/>
  <bookViews>
    <workbookView xWindow="-108" yWindow="-108" windowWidth="23256" windowHeight="12456" activeTab="1" xr2:uid="{ACC53BD0-DB86-46B4-98F6-727A9A7A705B}"/>
  </bookViews>
  <sheets>
    <sheet name="GST + Invocie No" sheetId="4" r:id="rId1"/>
    <sheet name="GSTR-2B" sheetId="1" r:id="rId2"/>
    <sheet name="Book" sheetId="2" r:id="rId3"/>
    <sheet name="GST Wise Reco" sheetId="3" r:id="rId4"/>
  </sheets>
  <definedNames>
    <definedName name="_xlnm._FilterDatabase" localSheetId="2" hidden="1">Book!$A$3:$P$151</definedName>
    <definedName name="_xlnm._FilterDatabase" localSheetId="0" hidden="1">'GST + Invocie No'!$A$4:$Y$184</definedName>
    <definedName name="_xlnm._FilterDatabase" localSheetId="3" hidden="1">'GST Wise Reco'!$A$3:$T$33</definedName>
    <definedName name="_xlnm._FilterDatabase" localSheetId="1" hidden="1">'GSTR-2B'!$A$3:$Y$164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8" i="4" l="1"/>
  <c r="O167" i="1"/>
  <c r="N167" i="1"/>
  <c r="N171" i="1" s="1"/>
  <c r="N1" i="1" s="1"/>
  <c r="M167" i="1"/>
  <c r="M171" i="1" s="1"/>
  <c r="L167" i="1"/>
  <c r="L171" i="1" s="1"/>
  <c r="L1" i="1" s="1"/>
  <c r="N153" i="2"/>
  <c r="N157" i="2" s="1"/>
  <c r="M153" i="2"/>
  <c r="M157" i="2" s="1"/>
  <c r="L153" i="2"/>
  <c r="L157" i="2" s="1"/>
  <c r="G151" i="2"/>
  <c r="P151" i="2" s="1"/>
  <c r="W66" i="4"/>
  <c r="W131" i="4"/>
  <c r="W129" i="4"/>
  <c r="W113" i="4"/>
  <c r="W92" i="4"/>
  <c r="W118" i="4"/>
  <c r="W156" i="4"/>
  <c r="W48" i="4"/>
  <c r="W61" i="4"/>
  <c r="W137" i="4"/>
  <c r="W62" i="4"/>
  <c r="W56" i="4"/>
  <c r="W151" i="4"/>
  <c r="W146" i="4"/>
  <c r="W64" i="4"/>
  <c r="W36" i="4"/>
  <c r="W65" i="4"/>
  <c r="W31" i="4"/>
  <c r="W50" i="4"/>
  <c r="W63" i="4"/>
  <c r="W80" i="4"/>
  <c r="W160" i="4"/>
  <c r="W73" i="4"/>
  <c r="W115" i="4"/>
  <c r="W39" i="4"/>
  <c r="W167" i="4"/>
  <c r="W14" i="4"/>
  <c r="W133" i="4"/>
  <c r="W52" i="4"/>
  <c r="W182" i="4"/>
  <c r="W76" i="4"/>
  <c r="W169" i="4"/>
  <c r="W176" i="4"/>
  <c r="W5" i="4"/>
  <c r="W53" i="4"/>
  <c r="W104" i="4"/>
  <c r="W6" i="4"/>
  <c r="W70" i="4"/>
  <c r="W83" i="4"/>
  <c r="W85" i="4"/>
  <c r="W87" i="4"/>
  <c r="W170" i="4"/>
  <c r="W30" i="4"/>
  <c r="W100" i="4"/>
  <c r="W34" i="4"/>
  <c r="W45" i="4"/>
  <c r="W122" i="4"/>
  <c r="W172" i="4"/>
  <c r="W23" i="4"/>
  <c r="W139" i="4"/>
  <c r="W116" i="4"/>
  <c r="W47" i="4"/>
  <c r="W51" i="4"/>
  <c r="W78" i="4"/>
  <c r="W155" i="4"/>
  <c r="W157" i="4"/>
  <c r="W158" i="4"/>
  <c r="W181" i="4"/>
  <c r="W102" i="4"/>
  <c r="W7" i="4"/>
  <c r="W159" i="4"/>
  <c r="W8" i="4"/>
  <c r="W117" i="4"/>
  <c r="W125" i="4"/>
  <c r="W55" i="4"/>
  <c r="W173" i="4"/>
  <c r="W127" i="4"/>
  <c r="W25" i="4"/>
  <c r="W33" i="4"/>
  <c r="W77" i="4"/>
  <c r="W120" i="4"/>
  <c r="W94" i="4"/>
  <c r="W130" i="4"/>
  <c r="W119" i="4"/>
  <c r="W9" i="4"/>
  <c r="W165" i="4"/>
  <c r="W10" i="4"/>
  <c r="W11" i="4"/>
  <c r="W12" i="4"/>
  <c r="W13" i="4"/>
  <c r="W177" i="4"/>
  <c r="W134" i="4"/>
  <c r="W75" i="4"/>
  <c r="W138" i="4"/>
  <c r="W49" i="4"/>
  <c r="W79" i="4"/>
  <c r="W143" i="4"/>
  <c r="W148" i="4"/>
  <c r="W101" i="4"/>
  <c r="W174" i="4"/>
  <c r="W106" i="4"/>
  <c r="W40" i="4"/>
  <c r="W178" i="4"/>
  <c r="W142" i="4"/>
  <c r="W35" i="4"/>
  <c r="W153" i="4"/>
  <c r="W71" i="4"/>
  <c r="W105" i="4"/>
  <c r="W144" i="4"/>
  <c r="W99" i="4"/>
  <c r="W107" i="4"/>
  <c r="W41" i="4"/>
  <c r="W166" i="4"/>
  <c r="W179" i="4"/>
  <c r="W59" i="4"/>
  <c r="W108" i="4"/>
  <c r="W145" i="4"/>
  <c r="W72" i="4"/>
  <c r="W103" i="4"/>
  <c r="W26" i="4"/>
  <c r="W15" i="4"/>
  <c r="W109" i="4"/>
  <c r="W180" i="4"/>
  <c r="W175" i="4"/>
  <c r="W16" i="4"/>
  <c r="W17" i="4"/>
  <c r="W18" i="4"/>
  <c r="W183" i="4"/>
  <c r="W95" i="4"/>
  <c r="W74" i="4"/>
  <c r="W184" i="4"/>
  <c r="W135" i="4"/>
  <c r="W161" i="4"/>
  <c r="W136" i="4"/>
  <c r="W19" i="4"/>
  <c r="W42" i="4"/>
  <c r="W68" i="4"/>
  <c r="W20" i="4"/>
  <c r="W91" i="4"/>
  <c r="W58" i="4"/>
  <c r="W147" i="4"/>
  <c r="W21" i="4"/>
  <c r="W22" i="4"/>
  <c r="W110" i="4"/>
  <c r="W121" i="4"/>
  <c r="W111" i="4"/>
  <c r="W29" i="4"/>
  <c r="W162" i="4"/>
  <c r="W132" i="4"/>
  <c r="W96" i="4"/>
  <c r="W149" i="4"/>
  <c r="W163" i="4"/>
  <c r="W164" i="4"/>
  <c r="W89" i="4"/>
  <c r="W123" i="4"/>
  <c r="W168" i="4"/>
  <c r="W93" i="4"/>
  <c r="W84" i="4"/>
  <c r="W86" i="4"/>
  <c r="W88" i="4"/>
  <c r="W128" i="4"/>
  <c r="W171" i="4"/>
  <c r="W124" i="4"/>
  <c r="W126" i="4"/>
  <c r="W24" i="4"/>
  <c r="W32" i="4"/>
  <c r="W46" i="4"/>
  <c r="W57" i="4"/>
  <c r="W69" i="4"/>
  <c r="W38" i="4"/>
  <c r="W97" i="4"/>
  <c r="W140" i="4"/>
  <c r="W37" i="4"/>
  <c r="W141" i="4"/>
  <c r="W44" i="4"/>
  <c r="W82" i="4"/>
  <c r="W81" i="4"/>
  <c r="W67" i="4"/>
  <c r="W98" i="4"/>
  <c r="W152" i="4"/>
  <c r="W154" i="4"/>
  <c r="W90" i="4"/>
  <c r="W112" i="4"/>
  <c r="W27" i="4"/>
  <c r="W60" i="4"/>
  <c r="W43" i="4"/>
  <c r="W114" i="4"/>
  <c r="W54" i="4"/>
  <c r="W150" i="4"/>
  <c r="G4" i="2"/>
  <c r="P4" i="2" s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C5" i="3"/>
  <c r="D5" i="3"/>
  <c r="E5" i="3"/>
  <c r="F5" i="3"/>
  <c r="I5" i="3"/>
  <c r="J5" i="3"/>
  <c r="K5" i="3"/>
  <c r="L5" i="3"/>
  <c r="C6" i="3"/>
  <c r="D6" i="3"/>
  <c r="E6" i="3"/>
  <c r="F6" i="3"/>
  <c r="I6" i="3"/>
  <c r="J6" i="3"/>
  <c r="K6" i="3"/>
  <c r="L6" i="3"/>
  <c r="C7" i="3"/>
  <c r="D7" i="3"/>
  <c r="E7" i="3"/>
  <c r="F7" i="3"/>
  <c r="I7" i="3"/>
  <c r="J7" i="3"/>
  <c r="K7" i="3"/>
  <c r="L7" i="3"/>
  <c r="C8" i="3"/>
  <c r="D8" i="3"/>
  <c r="E8" i="3"/>
  <c r="F8" i="3"/>
  <c r="I8" i="3"/>
  <c r="J8" i="3"/>
  <c r="K8" i="3"/>
  <c r="L8" i="3"/>
  <c r="C9" i="3"/>
  <c r="D9" i="3"/>
  <c r="E9" i="3"/>
  <c r="F9" i="3"/>
  <c r="I9" i="3"/>
  <c r="J9" i="3"/>
  <c r="K9" i="3"/>
  <c r="L9" i="3"/>
  <c r="C10" i="3"/>
  <c r="D10" i="3"/>
  <c r="E10" i="3"/>
  <c r="F10" i="3"/>
  <c r="I10" i="3"/>
  <c r="J10" i="3"/>
  <c r="K10" i="3"/>
  <c r="L10" i="3"/>
  <c r="C11" i="3"/>
  <c r="D11" i="3"/>
  <c r="E11" i="3"/>
  <c r="F11" i="3"/>
  <c r="I11" i="3"/>
  <c r="J11" i="3"/>
  <c r="K11" i="3"/>
  <c r="L11" i="3"/>
  <c r="C12" i="3"/>
  <c r="D12" i="3"/>
  <c r="E12" i="3"/>
  <c r="F12" i="3"/>
  <c r="I12" i="3"/>
  <c r="J12" i="3"/>
  <c r="K12" i="3"/>
  <c r="L12" i="3"/>
  <c r="C13" i="3"/>
  <c r="D13" i="3"/>
  <c r="E13" i="3"/>
  <c r="F13" i="3"/>
  <c r="I13" i="3"/>
  <c r="J13" i="3"/>
  <c r="K13" i="3"/>
  <c r="L13" i="3"/>
  <c r="C14" i="3"/>
  <c r="D14" i="3"/>
  <c r="E14" i="3"/>
  <c r="F14" i="3"/>
  <c r="I14" i="3"/>
  <c r="J14" i="3"/>
  <c r="K14" i="3"/>
  <c r="L14" i="3"/>
  <c r="C15" i="3"/>
  <c r="D15" i="3"/>
  <c r="E15" i="3"/>
  <c r="F15" i="3"/>
  <c r="I15" i="3"/>
  <c r="J15" i="3"/>
  <c r="K15" i="3"/>
  <c r="L15" i="3"/>
  <c r="C16" i="3"/>
  <c r="D16" i="3"/>
  <c r="E16" i="3"/>
  <c r="F16" i="3"/>
  <c r="I16" i="3"/>
  <c r="J16" i="3"/>
  <c r="K16" i="3"/>
  <c r="L16" i="3"/>
  <c r="C17" i="3"/>
  <c r="D17" i="3"/>
  <c r="E17" i="3"/>
  <c r="F17" i="3"/>
  <c r="I17" i="3"/>
  <c r="J17" i="3"/>
  <c r="K17" i="3"/>
  <c r="L17" i="3"/>
  <c r="C18" i="3"/>
  <c r="D18" i="3"/>
  <c r="E18" i="3"/>
  <c r="F18" i="3"/>
  <c r="I18" i="3"/>
  <c r="J18" i="3"/>
  <c r="K18" i="3"/>
  <c r="L18" i="3"/>
  <c r="C19" i="3"/>
  <c r="D19" i="3"/>
  <c r="E19" i="3"/>
  <c r="F19" i="3"/>
  <c r="I19" i="3"/>
  <c r="J19" i="3"/>
  <c r="K19" i="3"/>
  <c r="L19" i="3"/>
  <c r="C20" i="3"/>
  <c r="D20" i="3"/>
  <c r="E20" i="3"/>
  <c r="F20" i="3"/>
  <c r="I20" i="3"/>
  <c r="J20" i="3"/>
  <c r="K20" i="3"/>
  <c r="L20" i="3"/>
  <c r="C21" i="3"/>
  <c r="D21" i="3"/>
  <c r="E21" i="3"/>
  <c r="F21" i="3"/>
  <c r="I21" i="3"/>
  <c r="J21" i="3"/>
  <c r="K21" i="3"/>
  <c r="L21" i="3"/>
  <c r="C22" i="3"/>
  <c r="D22" i="3"/>
  <c r="E22" i="3"/>
  <c r="F22" i="3"/>
  <c r="I22" i="3"/>
  <c r="J22" i="3"/>
  <c r="K22" i="3"/>
  <c r="L22" i="3"/>
  <c r="C23" i="3"/>
  <c r="D23" i="3"/>
  <c r="E23" i="3"/>
  <c r="F23" i="3"/>
  <c r="I23" i="3"/>
  <c r="J23" i="3"/>
  <c r="K23" i="3"/>
  <c r="L23" i="3"/>
  <c r="C24" i="3"/>
  <c r="D24" i="3"/>
  <c r="E24" i="3"/>
  <c r="F24" i="3"/>
  <c r="I24" i="3"/>
  <c r="J24" i="3"/>
  <c r="K24" i="3"/>
  <c r="L24" i="3"/>
  <c r="C25" i="3"/>
  <c r="D25" i="3"/>
  <c r="E25" i="3"/>
  <c r="F25" i="3"/>
  <c r="I25" i="3"/>
  <c r="J25" i="3"/>
  <c r="K25" i="3"/>
  <c r="L25" i="3"/>
  <c r="C26" i="3"/>
  <c r="D26" i="3"/>
  <c r="E26" i="3"/>
  <c r="F26" i="3"/>
  <c r="I26" i="3"/>
  <c r="J26" i="3"/>
  <c r="K26" i="3"/>
  <c r="L26" i="3"/>
  <c r="C27" i="3"/>
  <c r="D27" i="3"/>
  <c r="E27" i="3"/>
  <c r="F27" i="3"/>
  <c r="I27" i="3"/>
  <c r="J27" i="3"/>
  <c r="K27" i="3"/>
  <c r="L27" i="3"/>
  <c r="C28" i="3"/>
  <c r="D28" i="3"/>
  <c r="E28" i="3"/>
  <c r="F28" i="3"/>
  <c r="I28" i="3"/>
  <c r="J28" i="3"/>
  <c r="K28" i="3"/>
  <c r="L28" i="3"/>
  <c r="C29" i="3"/>
  <c r="D29" i="3"/>
  <c r="E29" i="3"/>
  <c r="F29" i="3"/>
  <c r="I29" i="3"/>
  <c r="J29" i="3"/>
  <c r="K29" i="3"/>
  <c r="L29" i="3"/>
  <c r="C30" i="3"/>
  <c r="D30" i="3"/>
  <c r="E30" i="3"/>
  <c r="F30" i="3"/>
  <c r="I30" i="3"/>
  <c r="J30" i="3"/>
  <c r="K30" i="3"/>
  <c r="L30" i="3"/>
  <c r="C31" i="3"/>
  <c r="D31" i="3"/>
  <c r="E31" i="3"/>
  <c r="F31" i="3"/>
  <c r="I31" i="3"/>
  <c r="J31" i="3"/>
  <c r="K31" i="3"/>
  <c r="L31" i="3"/>
  <c r="C32" i="3"/>
  <c r="D32" i="3"/>
  <c r="E32" i="3"/>
  <c r="F32" i="3"/>
  <c r="I32" i="3"/>
  <c r="J32" i="3"/>
  <c r="K32" i="3"/>
  <c r="L32" i="3"/>
  <c r="C33" i="3"/>
  <c r="D33" i="3"/>
  <c r="E33" i="3"/>
  <c r="F33" i="3"/>
  <c r="I33" i="3"/>
  <c r="J33" i="3"/>
  <c r="K33" i="3"/>
  <c r="L33" i="3"/>
  <c r="L4" i="3"/>
  <c r="K4" i="3"/>
  <c r="J4" i="3"/>
  <c r="I4" i="3"/>
  <c r="F4" i="3"/>
  <c r="E4" i="3"/>
  <c r="D4" i="3"/>
  <c r="C4" i="3"/>
  <c r="M1" i="1" l="1"/>
  <c r="S20" i="3"/>
  <c r="S8" i="3"/>
  <c r="S29" i="3"/>
  <c r="S17" i="3"/>
  <c r="S5" i="3"/>
  <c r="S16" i="3"/>
  <c r="S4" i="3"/>
  <c r="S6" i="3"/>
  <c r="S32" i="3"/>
  <c r="S21" i="3"/>
  <c r="S9" i="3"/>
  <c r="S33" i="3"/>
  <c r="S22" i="3"/>
  <c r="S10" i="3"/>
  <c r="S25" i="3"/>
  <c r="S12" i="3"/>
  <c r="S23" i="3"/>
  <c r="S11" i="3"/>
  <c r="S13" i="3"/>
  <c r="S24" i="3"/>
  <c r="S28" i="3"/>
  <c r="S7" i="3"/>
  <c r="M36" i="3"/>
  <c r="M40" i="3" s="1"/>
  <c r="S31" i="3"/>
  <c r="S18" i="3"/>
  <c r="S27" i="3"/>
  <c r="S15" i="3"/>
  <c r="S19" i="3"/>
  <c r="S30" i="3"/>
  <c r="S26" i="3"/>
  <c r="S14" i="3"/>
  <c r="O4" i="3"/>
  <c r="P4" i="3"/>
  <c r="Q4" i="3"/>
  <c r="P26" i="3"/>
  <c r="P20" i="3"/>
  <c r="P17" i="3"/>
  <c r="O29" i="3"/>
  <c r="O26" i="3"/>
  <c r="O23" i="3"/>
  <c r="O20" i="3"/>
  <c r="O17" i="3"/>
  <c r="O14" i="3"/>
  <c r="O11" i="3"/>
  <c r="O8" i="3"/>
  <c r="O5" i="3"/>
  <c r="P29" i="3"/>
  <c r="P23" i="3"/>
  <c r="P14" i="3"/>
  <c r="P11" i="3"/>
  <c r="P8" i="3"/>
  <c r="P5" i="3"/>
  <c r="R32" i="3"/>
  <c r="R30" i="3"/>
  <c r="R27" i="3"/>
  <c r="R24" i="3"/>
  <c r="R21" i="3"/>
  <c r="R18" i="3"/>
  <c r="R15" i="3"/>
  <c r="R12" i="3"/>
  <c r="R9" i="3"/>
  <c r="R6" i="3"/>
  <c r="Q32" i="3"/>
  <c r="Q30" i="3"/>
  <c r="Q27" i="3"/>
  <c r="Q24" i="3"/>
  <c r="Q21" i="3"/>
  <c r="Q18" i="3"/>
  <c r="Q15" i="3"/>
  <c r="Q12" i="3"/>
  <c r="Q9" i="3"/>
  <c r="Q6" i="3"/>
  <c r="P32" i="3"/>
  <c r="P27" i="3"/>
  <c r="O30" i="3"/>
  <c r="O24" i="3"/>
  <c r="O18" i="3"/>
  <c r="O12" i="3"/>
  <c r="O6" i="3"/>
  <c r="R25" i="3"/>
  <c r="R19" i="3"/>
  <c r="R13" i="3"/>
  <c r="R7" i="3"/>
  <c r="Q28" i="3"/>
  <c r="Q22" i="3"/>
  <c r="Q16" i="3"/>
  <c r="Q10" i="3"/>
  <c r="K36" i="3"/>
  <c r="K40" i="3" s="1"/>
  <c r="P25" i="3"/>
  <c r="P19" i="3"/>
  <c r="P16" i="3"/>
  <c r="P13" i="3"/>
  <c r="P10" i="3"/>
  <c r="P7" i="3"/>
  <c r="P21" i="3"/>
  <c r="P15" i="3"/>
  <c r="P9" i="3"/>
  <c r="O21" i="3"/>
  <c r="I36" i="3"/>
  <c r="R31" i="3"/>
  <c r="Q33" i="3"/>
  <c r="Q13" i="3"/>
  <c r="P33" i="3"/>
  <c r="P31" i="3"/>
  <c r="P28" i="3"/>
  <c r="P22" i="3"/>
  <c r="L36" i="3"/>
  <c r="L40" i="3" s="1"/>
  <c r="O33" i="3"/>
  <c r="O31" i="3"/>
  <c r="O28" i="3"/>
  <c r="O25" i="3"/>
  <c r="O22" i="3"/>
  <c r="O19" i="3"/>
  <c r="O16" i="3"/>
  <c r="O13" i="3"/>
  <c r="O10" i="3"/>
  <c r="O7" i="3"/>
  <c r="D36" i="3"/>
  <c r="D40" i="3" s="1"/>
  <c r="O32" i="3"/>
  <c r="O27" i="3"/>
  <c r="O15" i="3"/>
  <c r="O9" i="3"/>
  <c r="R33" i="3"/>
  <c r="Q25" i="3"/>
  <c r="Q7" i="3"/>
  <c r="R29" i="3"/>
  <c r="R26" i="3"/>
  <c r="R23" i="3"/>
  <c r="R20" i="3"/>
  <c r="R17" i="3"/>
  <c r="R14" i="3"/>
  <c r="R11" i="3"/>
  <c r="R8" i="3"/>
  <c r="R5" i="3"/>
  <c r="C36" i="3"/>
  <c r="E36" i="3"/>
  <c r="E40" i="3" s="1"/>
  <c r="P30" i="3"/>
  <c r="P24" i="3"/>
  <c r="P18" i="3"/>
  <c r="P12" i="3"/>
  <c r="P6" i="3"/>
  <c r="F36" i="3"/>
  <c r="F40" i="3" s="1"/>
  <c r="R28" i="3"/>
  <c r="R22" i="3"/>
  <c r="R16" i="3"/>
  <c r="R10" i="3"/>
  <c r="J36" i="3"/>
  <c r="J40" i="3" s="1"/>
  <c r="Q31" i="3"/>
  <c r="Q19" i="3"/>
  <c r="R4" i="3"/>
  <c r="Q29" i="3"/>
  <c r="Q26" i="3"/>
  <c r="Q23" i="3"/>
  <c r="Q20" i="3"/>
  <c r="Q17" i="3"/>
  <c r="Q14" i="3"/>
  <c r="Q11" i="3"/>
  <c r="Q8" i="3"/>
  <c r="Q5" i="3"/>
  <c r="G36" i="3"/>
  <c r="G40" i="3" s="1"/>
  <c r="S36" i="3" l="1"/>
  <c r="S40" i="3" s="1"/>
  <c r="R36" i="3"/>
  <c r="R40" i="3" s="1"/>
  <c r="Q36" i="3"/>
  <c r="Q40" i="3" s="1"/>
  <c r="P36" i="3"/>
  <c r="P40" i="3" s="1"/>
  <c r="O36" i="3"/>
  <c r="G5" i="2"/>
  <c r="P5" i="2" s="1"/>
  <c r="G6" i="2"/>
  <c r="P6" i="2" s="1"/>
  <c r="G7" i="2"/>
  <c r="P7" i="2" s="1"/>
  <c r="G8" i="2"/>
  <c r="P8" i="2" s="1"/>
  <c r="G9" i="2"/>
  <c r="P9" i="2" s="1"/>
  <c r="G10" i="2"/>
  <c r="P10" i="2" s="1"/>
  <c r="G11" i="2"/>
  <c r="P11" i="2" s="1"/>
  <c r="G12" i="2"/>
  <c r="P12" i="2" s="1"/>
  <c r="G13" i="2"/>
  <c r="P13" i="2" s="1"/>
  <c r="G14" i="2"/>
  <c r="P14" i="2" s="1"/>
  <c r="G15" i="2"/>
  <c r="P15" i="2" s="1"/>
  <c r="G16" i="2"/>
  <c r="P16" i="2" s="1"/>
  <c r="G17" i="2"/>
  <c r="P17" i="2" s="1"/>
  <c r="G18" i="2"/>
  <c r="P18" i="2" s="1"/>
  <c r="G19" i="2"/>
  <c r="P19" i="2" s="1"/>
  <c r="G20" i="2"/>
  <c r="P20" i="2" s="1"/>
  <c r="G21" i="2"/>
  <c r="P21" i="2" s="1"/>
  <c r="G22" i="2"/>
  <c r="P22" i="2" s="1"/>
  <c r="G23" i="2"/>
  <c r="P23" i="2" s="1"/>
  <c r="G24" i="2"/>
  <c r="P24" i="2" s="1"/>
  <c r="G25" i="2"/>
  <c r="P25" i="2" s="1"/>
  <c r="G26" i="2"/>
  <c r="P26" i="2" s="1"/>
  <c r="G27" i="2"/>
  <c r="P27" i="2" s="1"/>
  <c r="G28" i="2"/>
  <c r="P28" i="2" s="1"/>
  <c r="G29" i="2"/>
  <c r="P29" i="2" s="1"/>
  <c r="G30" i="2"/>
  <c r="P30" i="2" s="1"/>
  <c r="G31" i="2"/>
  <c r="P31" i="2" s="1"/>
  <c r="G32" i="2"/>
  <c r="P32" i="2" s="1"/>
  <c r="G33" i="2"/>
  <c r="P33" i="2" s="1"/>
  <c r="G34" i="2"/>
  <c r="P34" i="2" s="1"/>
  <c r="G35" i="2"/>
  <c r="P35" i="2" s="1"/>
  <c r="G36" i="2"/>
  <c r="P36" i="2" s="1"/>
  <c r="G37" i="2"/>
  <c r="P37" i="2" s="1"/>
  <c r="G38" i="2"/>
  <c r="P38" i="2" s="1"/>
  <c r="G39" i="2"/>
  <c r="P39" i="2" s="1"/>
  <c r="G40" i="2"/>
  <c r="P40" i="2" s="1"/>
  <c r="G41" i="2"/>
  <c r="P41" i="2" s="1"/>
  <c r="G42" i="2"/>
  <c r="P42" i="2" s="1"/>
  <c r="G43" i="2"/>
  <c r="P43" i="2" s="1"/>
  <c r="G44" i="2"/>
  <c r="P44" i="2" s="1"/>
  <c r="G45" i="2"/>
  <c r="P45" i="2" s="1"/>
  <c r="G46" i="2"/>
  <c r="P46" i="2" s="1"/>
  <c r="G47" i="2"/>
  <c r="P47" i="2" s="1"/>
  <c r="G48" i="2"/>
  <c r="P48" i="2" s="1"/>
  <c r="G49" i="2"/>
  <c r="P49" i="2" s="1"/>
  <c r="G50" i="2"/>
  <c r="P50" i="2" s="1"/>
  <c r="G51" i="2"/>
  <c r="P51" i="2" s="1"/>
  <c r="G52" i="2"/>
  <c r="P52" i="2" s="1"/>
  <c r="G53" i="2"/>
  <c r="P53" i="2" s="1"/>
  <c r="G54" i="2"/>
  <c r="P54" i="2" s="1"/>
  <c r="G55" i="2"/>
  <c r="P55" i="2" s="1"/>
  <c r="G56" i="2"/>
  <c r="P56" i="2" s="1"/>
  <c r="G57" i="2"/>
  <c r="P57" i="2" s="1"/>
  <c r="G58" i="2"/>
  <c r="P58" i="2" s="1"/>
  <c r="G59" i="2"/>
  <c r="P59" i="2" s="1"/>
  <c r="G60" i="2"/>
  <c r="P60" i="2" s="1"/>
  <c r="G61" i="2"/>
  <c r="P61" i="2" s="1"/>
  <c r="G62" i="2"/>
  <c r="P62" i="2" s="1"/>
  <c r="G63" i="2"/>
  <c r="P63" i="2" s="1"/>
  <c r="G64" i="2"/>
  <c r="P64" i="2" s="1"/>
  <c r="G65" i="2"/>
  <c r="P65" i="2" s="1"/>
  <c r="G66" i="2"/>
  <c r="P66" i="2" s="1"/>
  <c r="G67" i="2"/>
  <c r="P67" i="2" s="1"/>
  <c r="G68" i="2"/>
  <c r="P68" i="2" s="1"/>
  <c r="G69" i="2"/>
  <c r="P69" i="2" s="1"/>
  <c r="G70" i="2"/>
  <c r="P70" i="2" s="1"/>
  <c r="G71" i="2"/>
  <c r="P71" i="2" s="1"/>
  <c r="G72" i="2"/>
  <c r="P72" i="2" s="1"/>
  <c r="G73" i="2"/>
  <c r="P73" i="2" s="1"/>
  <c r="G74" i="2"/>
  <c r="P74" i="2" s="1"/>
  <c r="G75" i="2"/>
  <c r="P75" i="2" s="1"/>
  <c r="G76" i="2"/>
  <c r="P76" i="2" s="1"/>
  <c r="G77" i="2"/>
  <c r="P77" i="2" s="1"/>
  <c r="G78" i="2"/>
  <c r="P78" i="2" s="1"/>
  <c r="G79" i="2"/>
  <c r="P79" i="2" s="1"/>
  <c r="G80" i="2"/>
  <c r="P80" i="2" s="1"/>
  <c r="G81" i="2"/>
  <c r="P81" i="2" s="1"/>
  <c r="G82" i="2"/>
  <c r="P82" i="2" s="1"/>
  <c r="G83" i="2"/>
  <c r="P83" i="2" s="1"/>
  <c r="G84" i="2"/>
  <c r="P84" i="2" s="1"/>
  <c r="G85" i="2"/>
  <c r="P85" i="2" s="1"/>
  <c r="G86" i="2"/>
  <c r="P86" i="2" s="1"/>
  <c r="G87" i="2"/>
  <c r="P87" i="2" s="1"/>
  <c r="G88" i="2"/>
  <c r="P88" i="2" s="1"/>
  <c r="G89" i="2"/>
  <c r="P89" i="2" s="1"/>
  <c r="G90" i="2"/>
  <c r="P90" i="2" s="1"/>
  <c r="G91" i="2"/>
  <c r="P91" i="2" s="1"/>
  <c r="G92" i="2"/>
  <c r="P92" i="2" s="1"/>
  <c r="G93" i="2"/>
  <c r="P93" i="2" s="1"/>
  <c r="G94" i="2"/>
  <c r="P94" i="2" s="1"/>
  <c r="G95" i="2"/>
  <c r="P95" i="2" s="1"/>
  <c r="G96" i="2"/>
  <c r="P96" i="2" s="1"/>
  <c r="G97" i="2"/>
  <c r="P97" i="2" s="1"/>
  <c r="G98" i="2"/>
  <c r="P98" i="2" s="1"/>
  <c r="G99" i="2"/>
  <c r="P99" i="2" s="1"/>
  <c r="G100" i="2"/>
  <c r="P100" i="2" s="1"/>
  <c r="G101" i="2"/>
  <c r="P101" i="2" s="1"/>
  <c r="G102" i="2"/>
  <c r="P102" i="2" s="1"/>
  <c r="G103" i="2"/>
  <c r="P103" i="2" s="1"/>
  <c r="G104" i="2"/>
  <c r="P104" i="2" s="1"/>
  <c r="G105" i="2"/>
  <c r="P105" i="2" s="1"/>
  <c r="G106" i="2"/>
  <c r="P106" i="2" s="1"/>
  <c r="G107" i="2"/>
  <c r="P107" i="2" s="1"/>
  <c r="G108" i="2"/>
  <c r="P108" i="2" s="1"/>
  <c r="G109" i="2"/>
  <c r="P109" i="2" s="1"/>
  <c r="G110" i="2"/>
  <c r="P110" i="2" s="1"/>
  <c r="G111" i="2"/>
  <c r="P111" i="2" s="1"/>
  <c r="G112" i="2"/>
  <c r="P112" i="2" s="1"/>
  <c r="G113" i="2"/>
  <c r="P113" i="2" s="1"/>
  <c r="G114" i="2"/>
  <c r="P114" i="2" s="1"/>
  <c r="G115" i="2"/>
  <c r="P115" i="2" s="1"/>
  <c r="G116" i="2"/>
  <c r="P116" i="2" s="1"/>
  <c r="G117" i="2"/>
  <c r="P117" i="2" s="1"/>
  <c r="G118" i="2"/>
  <c r="P118" i="2" s="1"/>
  <c r="G119" i="2"/>
  <c r="P119" i="2" s="1"/>
  <c r="G120" i="2"/>
  <c r="P120" i="2" s="1"/>
  <c r="G121" i="2"/>
  <c r="P121" i="2" s="1"/>
  <c r="G122" i="2"/>
  <c r="P122" i="2" s="1"/>
  <c r="G123" i="2"/>
  <c r="P123" i="2" s="1"/>
  <c r="G124" i="2"/>
  <c r="P124" i="2" s="1"/>
  <c r="G125" i="2"/>
  <c r="P125" i="2" s="1"/>
  <c r="G126" i="2"/>
  <c r="P126" i="2" s="1"/>
  <c r="G127" i="2"/>
  <c r="P127" i="2" s="1"/>
  <c r="G128" i="2"/>
  <c r="P128" i="2" s="1"/>
  <c r="G129" i="2"/>
  <c r="P129" i="2" s="1"/>
  <c r="G130" i="2"/>
  <c r="P130" i="2" s="1"/>
  <c r="G131" i="2"/>
  <c r="P131" i="2" s="1"/>
  <c r="G132" i="2"/>
  <c r="P132" i="2" s="1"/>
  <c r="G133" i="2"/>
  <c r="P133" i="2" s="1"/>
  <c r="G134" i="2"/>
  <c r="P134" i="2" s="1"/>
  <c r="G135" i="2"/>
  <c r="P135" i="2" s="1"/>
  <c r="G136" i="2"/>
  <c r="P136" i="2" s="1"/>
  <c r="G137" i="2"/>
  <c r="P137" i="2" s="1"/>
  <c r="G138" i="2"/>
  <c r="P138" i="2" s="1"/>
  <c r="G139" i="2"/>
  <c r="P139" i="2" s="1"/>
  <c r="G140" i="2"/>
  <c r="P140" i="2" s="1"/>
  <c r="G141" i="2"/>
  <c r="P141" i="2" s="1"/>
  <c r="G142" i="2"/>
  <c r="P142" i="2" s="1"/>
  <c r="G143" i="2"/>
  <c r="P143" i="2" s="1"/>
  <c r="G144" i="2"/>
  <c r="P144" i="2" s="1"/>
  <c r="G145" i="2"/>
  <c r="P145" i="2" s="1"/>
  <c r="G146" i="2"/>
  <c r="P146" i="2" s="1"/>
  <c r="G147" i="2"/>
  <c r="P147" i="2" s="1"/>
  <c r="G148" i="2"/>
  <c r="P148" i="2" s="1"/>
  <c r="G149" i="2"/>
  <c r="P149" i="2" s="1"/>
  <c r="G150" i="2"/>
  <c r="P150" i="2" s="1"/>
  <c r="G5" i="1"/>
  <c r="P5" i="1" s="1"/>
  <c r="G6" i="1"/>
  <c r="P6" i="1" s="1"/>
  <c r="G7" i="1"/>
  <c r="P7" i="1" s="1"/>
  <c r="G8" i="1"/>
  <c r="P8" i="1" s="1"/>
  <c r="G9" i="1"/>
  <c r="P9" i="1" s="1"/>
  <c r="G10" i="1"/>
  <c r="P10" i="1" s="1"/>
  <c r="G11" i="1"/>
  <c r="P11" i="1" s="1"/>
  <c r="G12" i="1"/>
  <c r="P12" i="1" s="1"/>
  <c r="G13" i="1"/>
  <c r="P13" i="1" s="1"/>
  <c r="G14" i="1"/>
  <c r="P14" i="1" s="1"/>
  <c r="G15" i="1"/>
  <c r="P15" i="1" s="1"/>
  <c r="G16" i="1"/>
  <c r="P16" i="1" s="1"/>
  <c r="G17" i="1"/>
  <c r="P17" i="1" s="1"/>
  <c r="G18" i="1"/>
  <c r="P18" i="1" s="1"/>
  <c r="G19" i="1"/>
  <c r="P19" i="1" s="1"/>
  <c r="G20" i="1"/>
  <c r="P20" i="1" s="1"/>
  <c r="G21" i="1"/>
  <c r="P21" i="1" s="1"/>
  <c r="G22" i="1"/>
  <c r="P22" i="1" s="1"/>
  <c r="G23" i="1"/>
  <c r="P23" i="1" s="1"/>
  <c r="G24" i="1"/>
  <c r="P24" i="1" s="1"/>
  <c r="G25" i="1"/>
  <c r="P25" i="1" s="1"/>
  <c r="G26" i="1"/>
  <c r="P26" i="1" s="1"/>
  <c r="G27" i="1"/>
  <c r="P27" i="1" s="1"/>
  <c r="G28" i="1"/>
  <c r="P28" i="1" s="1"/>
  <c r="G29" i="1"/>
  <c r="P29" i="1" s="1"/>
  <c r="G30" i="1"/>
  <c r="P30" i="1" s="1"/>
  <c r="G31" i="1"/>
  <c r="P31" i="1" s="1"/>
  <c r="G32" i="1"/>
  <c r="P32" i="1" s="1"/>
  <c r="G33" i="1"/>
  <c r="P33" i="1" s="1"/>
  <c r="G34" i="1"/>
  <c r="P34" i="1" s="1"/>
  <c r="G35" i="1"/>
  <c r="P35" i="1" s="1"/>
  <c r="G36" i="1"/>
  <c r="P36" i="1" s="1"/>
  <c r="G37" i="1"/>
  <c r="P37" i="1" s="1"/>
  <c r="G38" i="1"/>
  <c r="P38" i="1" s="1"/>
  <c r="G39" i="1"/>
  <c r="P39" i="1" s="1"/>
  <c r="G40" i="1"/>
  <c r="P40" i="1" s="1"/>
  <c r="G41" i="1"/>
  <c r="P41" i="1" s="1"/>
  <c r="G42" i="1"/>
  <c r="P42" i="1" s="1"/>
  <c r="G43" i="1"/>
  <c r="P43" i="1" s="1"/>
  <c r="G44" i="1"/>
  <c r="P44" i="1" s="1"/>
  <c r="G45" i="1"/>
  <c r="P45" i="1" s="1"/>
  <c r="G46" i="1"/>
  <c r="P46" i="1" s="1"/>
  <c r="G47" i="1"/>
  <c r="P47" i="1" s="1"/>
  <c r="G48" i="1"/>
  <c r="P48" i="1" s="1"/>
  <c r="G49" i="1"/>
  <c r="P49" i="1" s="1"/>
  <c r="G50" i="1"/>
  <c r="P50" i="1" s="1"/>
  <c r="G51" i="1"/>
  <c r="P51" i="1" s="1"/>
  <c r="G52" i="1"/>
  <c r="P52" i="1" s="1"/>
  <c r="G53" i="1"/>
  <c r="P53" i="1" s="1"/>
  <c r="G54" i="1"/>
  <c r="P54" i="1" s="1"/>
  <c r="G55" i="1"/>
  <c r="P55" i="1" s="1"/>
  <c r="G56" i="1"/>
  <c r="P56" i="1" s="1"/>
  <c r="G57" i="1"/>
  <c r="P57" i="1" s="1"/>
  <c r="G58" i="1"/>
  <c r="P58" i="1" s="1"/>
  <c r="G59" i="1"/>
  <c r="P59" i="1" s="1"/>
  <c r="G60" i="1"/>
  <c r="P60" i="1" s="1"/>
  <c r="G61" i="1"/>
  <c r="P61" i="1" s="1"/>
  <c r="G62" i="1"/>
  <c r="P62" i="1" s="1"/>
  <c r="G63" i="1"/>
  <c r="P63" i="1" s="1"/>
  <c r="G64" i="1"/>
  <c r="P64" i="1" s="1"/>
  <c r="G65" i="1"/>
  <c r="P65" i="1" s="1"/>
  <c r="G66" i="1"/>
  <c r="P66" i="1" s="1"/>
  <c r="G67" i="1"/>
  <c r="P67" i="1" s="1"/>
  <c r="G68" i="1"/>
  <c r="P68" i="1" s="1"/>
  <c r="G69" i="1"/>
  <c r="P69" i="1" s="1"/>
  <c r="G70" i="1"/>
  <c r="P70" i="1" s="1"/>
  <c r="G71" i="1"/>
  <c r="P71" i="1" s="1"/>
  <c r="G72" i="1"/>
  <c r="P72" i="1" s="1"/>
  <c r="G73" i="1"/>
  <c r="P73" i="1" s="1"/>
  <c r="G74" i="1"/>
  <c r="P74" i="1" s="1"/>
  <c r="G75" i="1"/>
  <c r="P75" i="1" s="1"/>
  <c r="G76" i="1"/>
  <c r="P76" i="1" s="1"/>
  <c r="G77" i="1"/>
  <c r="P77" i="1" s="1"/>
  <c r="G78" i="1"/>
  <c r="P78" i="1" s="1"/>
  <c r="G79" i="1"/>
  <c r="P79" i="1" s="1"/>
  <c r="G80" i="1"/>
  <c r="P80" i="1" s="1"/>
  <c r="G81" i="1"/>
  <c r="P81" i="1" s="1"/>
  <c r="G82" i="1"/>
  <c r="P82" i="1" s="1"/>
  <c r="G83" i="1"/>
  <c r="P83" i="1" s="1"/>
  <c r="G84" i="1"/>
  <c r="P84" i="1" s="1"/>
  <c r="G85" i="1"/>
  <c r="P85" i="1" s="1"/>
  <c r="G86" i="1"/>
  <c r="P86" i="1" s="1"/>
  <c r="G87" i="1"/>
  <c r="P87" i="1" s="1"/>
  <c r="G88" i="1"/>
  <c r="P88" i="1" s="1"/>
  <c r="G89" i="1"/>
  <c r="P89" i="1" s="1"/>
  <c r="G90" i="1"/>
  <c r="P90" i="1" s="1"/>
  <c r="G91" i="1"/>
  <c r="P91" i="1" s="1"/>
  <c r="G92" i="1"/>
  <c r="P92" i="1" s="1"/>
  <c r="G93" i="1"/>
  <c r="P93" i="1" s="1"/>
  <c r="G94" i="1"/>
  <c r="P94" i="1" s="1"/>
  <c r="G95" i="1"/>
  <c r="P95" i="1" s="1"/>
  <c r="G96" i="1"/>
  <c r="P96" i="1" s="1"/>
  <c r="G97" i="1"/>
  <c r="P97" i="1" s="1"/>
  <c r="G98" i="1"/>
  <c r="P98" i="1" s="1"/>
  <c r="G99" i="1"/>
  <c r="P99" i="1" s="1"/>
  <c r="G100" i="1"/>
  <c r="P100" i="1" s="1"/>
  <c r="G101" i="1"/>
  <c r="P101" i="1" s="1"/>
  <c r="G102" i="1"/>
  <c r="P102" i="1" s="1"/>
  <c r="G103" i="1"/>
  <c r="P103" i="1" s="1"/>
  <c r="G104" i="1"/>
  <c r="P104" i="1" s="1"/>
  <c r="G105" i="1"/>
  <c r="P105" i="1" s="1"/>
  <c r="G106" i="1"/>
  <c r="P106" i="1" s="1"/>
  <c r="G107" i="1"/>
  <c r="P107" i="1" s="1"/>
  <c r="G108" i="1"/>
  <c r="P108" i="1" s="1"/>
  <c r="G109" i="1"/>
  <c r="P109" i="1" s="1"/>
  <c r="G110" i="1"/>
  <c r="P110" i="1" s="1"/>
  <c r="G111" i="1"/>
  <c r="P111" i="1" s="1"/>
  <c r="G112" i="1"/>
  <c r="P112" i="1" s="1"/>
  <c r="G113" i="1"/>
  <c r="P113" i="1" s="1"/>
  <c r="G114" i="1"/>
  <c r="P114" i="1" s="1"/>
  <c r="G115" i="1"/>
  <c r="P115" i="1" s="1"/>
  <c r="G116" i="1"/>
  <c r="P116" i="1" s="1"/>
  <c r="G117" i="1"/>
  <c r="P117" i="1" s="1"/>
  <c r="G118" i="1"/>
  <c r="P118" i="1" s="1"/>
  <c r="G119" i="1"/>
  <c r="P119" i="1" s="1"/>
  <c r="G120" i="1"/>
  <c r="P120" i="1" s="1"/>
  <c r="G121" i="1"/>
  <c r="P121" i="1" s="1"/>
  <c r="G122" i="1"/>
  <c r="P122" i="1" s="1"/>
  <c r="G123" i="1"/>
  <c r="P123" i="1" s="1"/>
  <c r="G124" i="1"/>
  <c r="P124" i="1" s="1"/>
  <c r="G125" i="1"/>
  <c r="P125" i="1" s="1"/>
  <c r="G126" i="1"/>
  <c r="P126" i="1" s="1"/>
  <c r="G127" i="1"/>
  <c r="P127" i="1" s="1"/>
  <c r="G128" i="1"/>
  <c r="P128" i="1" s="1"/>
  <c r="G129" i="1"/>
  <c r="P129" i="1" s="1"/>
  <c r="G130" i="1"/>
  <c r="P130" i="1" s="1"/>
  <c r="G131" i="1"/>
  <c r="P131" i="1" s="1"/>
  <c r="G132" i="1"/>
  <c r="P132" i="1" s="1"/>
  <c r="G133" i="1"/>
  <c r="P133" i="1" s="1"/>
  <c r="G134" i="1"/>
  <c r="P134" i="1" s="1"/>
  <c r="G135" i="1"/>
  <c r="P135" i="1" s="1"/>
  <c r="G136" i="1"/>
  <c r="P136" i="1" s="1"/>
  <c r="G137" i="1"/>
  <c r="P137" i="1" s="1"/>
  <c r="G138" i="1"/>
  <c r="P138" i="1" s="1"/>
  <c r="G139" i="1"/>
  <c r="P139" i="1" s="1"/>
  <c r="G140" i="1"/>
  <c r="P140" i="1" s="1"/>
  <c r="G141" i="1"/>
  <c r="P141" i="1" s="1"/>
  <c r="G142" i="1"/>
  <c r="P142" i="1" s="1"/>
  <c r="G143" i="1"/>
  <c r="P143" i="1" s="1"/>
  <c r="G144" i="1"/>
  <c r="P144" i="1" s="1"/>
  <c r="G145" i="1"/>
  <c r="P145" i="1" s="1"/>
  <c r="G146" i="1"/>
  <c r="P146" i="1" s="1"/>
  <c r="G147" i="1"/>
  <c r="P147" i="1" s="1"/>
  <c r="G148" i="1"/>
  <c r="P148" i="1" s="1"/>
  <c r="G149" i="1"/>
  <c r="P149" i="1" s="1"/>
  <c r="G150" i="1"/>
  <c r="P150" i="1" s="1"/>
  <c r="G151" i="1"/>
  <c r="P151" i="1" s="1"/>
  <c r="G152" i="1"/>
  <c r="P152" i="1" s="1"/>
  <c r="G153" i="1"/>
  <c r="P153" i="1" s="1"/>
  <c r="G154" i="1"/>
  <c r="P154" i="1" s="1"/>
  <c r="G155" i="1"/>
  <c r="P155" i="1" s="1"/>
  <c r="G156" i="1"/>
  <c r="P156" i="1" s="1"/>
  <c r="G157" i="1"/>
  <c r="P157" i="1" s="1"/>
  <c r="G158" i="1"/>
  <c r="P158" i="1" s="1"/>
  <c r="G159" i="1"/>
  <c r="P159" i="1" s="1"/>
  <c r="G160" i="1"/>
  <c r="P160" i="1" s="1"/>
  <c r="G161" i="1"/>
  <c r="P161" i="1" s="1"/>
  <c r="G162" i="1"/>
  <c r="P162" i="1" s="1"/>
  <c r="G163" i="1"/>
  <c r="P163" i="1" s="1"/>
  <c r="G164" i="1"/>
  <c r="P164" i="1" s="1"/>
  <c r="G4" i="1"/>
  <c r="U61" i="4" l="1"/>
  <c r="U80" i="4"/>
  <c r="U176" i="4"/>
  <c r="U34" i="4"/>
  <c r="U158" i="4"/>
  <c r="U33" i="4"/>
  <c r="U177" i="4"/>
  <c r="U178" i="4"/>
  <c r="U59" i="4"/>
  <c r="U18" i="4"/>
  <c r="U91" i="4"/>
  <c r="U149" i="4"/>
  <c r="U124" i="4"/>
  <c r="U44" i="4"/>
  <c r="U43" i="4"/>
  <c r="U137" i="4"/>
  <c r="U160" i="4"/>
  <c r="U5" i="4"/>
  <c r="U45" i="4"/>
  <c r="U181" i="4"/>
  <c r="U77" i="4"/>
  <c r="U134" i="4"/>
  <c r="U142" i="4"/>
  <c r="U108" i="4"/>
  <c r="U183" i="4"/>
  <c r="U58" i="4"/>
  <c r="U163" i="4"/>
  <c r="U126" i="4"/>
  <c r="U82" i="4"/>
  <c r="U114" i="4"/>
  <c r="U62" i="4"/>
  <c r="U73" i="4"/>
  <c r="U53" i="4"/>
  <c r="U122" i="4"/>
  <c r="U102" i="4"/>
  <c r="U120" i="4"/>
  <c r="U75" i="4"/>
  <c r="U35" i="4"/>
  <c r="U145" i="4"/>
  <c r="U95" i="4"/>
  <c r="U147" i="4"/>
  <c r="U164" i="4"/>
  <c r="U24" i="4"/>
  <c r="U81" i="4"/>
  <c r="U54" i="4"/>
  <c r="U56" i="4"/>
  <c r="U115" i="4"/>
  <c r="U104" i="4"/>
  <c r="U172" i="4"/>
  <c r="U7" i="4"/>
  <c r="U94" i="4"/>
  <c r="U138" i="4"/>
  <c r="U153" i="4"/>
  <c r="U72" i="4"/>
  <c r="U74" i="4"/>
  <c r="U21" i="4"/>
  <c r="U89" i="4"/>
  <c r="U32" i="4"/>
  <c r="U67" i="4"/>
  <c r="U150" i="4"/>
  <c r="P4" i="1"/>
  <c r="U66" i="4"/>
  <c r="U151" i="4"/>
  <c r="U39" i="4"/>
  <c r="U6" i="4"/>
  <c r="U23" i="4"/>
  <c r="U159" i="4"/>
  <c r="U130" i="4"/>
  <c r="U49" i="4"/>
  <c r="U71" i="4"/>
  <c r="U103" i="4"/>
  <c r="U184" i="4"/>
  <c r="U22" i="4"/>
  <c r="U123" i="4"/>
  <c r="U46" i="4"/>
  <c r="U98" i="4"/>
  <c r="U131" i="4"/>
  <c r="U146" i="4"/>
  <c r="U167" i="4"/>
  <c r="U70" i="4"/>
  <c r="U139" i="4"/>
  <c r="U8" i="4"/>
  <c r="U119" i="4"/>
  <c r="U79" i="4"/>
  <c r="U105" i="4"/>
  <c r="U26" i="4"/>
  <c r="U135" i="4"/>
  <c r="U110" i="4"/>
  <c r="U168" i="4"/>
  <c r="U57" i="4"/>
  <c r="U152" i="4"/>
  <c r="U129" i="4"/>
  <c r="U64" i="4"/>
  <c r="U14" i="4"/>
  <c r="U83" i="4"/>
  <c r="U116" i="4"/>
  <c r="U117" i="4"/>
  <c r="U9" i="4"/>
  <c r="U143" i="4"/>
  <c r="U144" i="4"/>
  <c r="U15" i="4"/>
  <c r="U161" i="4"/>
  <c r="U121" i="4"/>
  <c r="U93" i="4"/>
  <c r="U69" i="4"/>
  <c r="U154" i="4"/>
  <c r="U63" i="4"/>
  <c r="U25" i="4"/>
  <c r="U20" i="4"/>
  <c r="U28" i="4"/>
  <c r="U113" i="4"/>
  <c r="U36" i="4"/>
  <c r="U133" i="4"/>
  <c r="U85" i="4"/>
  <c r="U47" i="4"/>
  <c r="U125" i="4"/>
  <c r="U165" i="4"/>
  <c r="U148" i="4"/>
  <c r="U99" i="4"/>
  <c r="U109" i="4"/>
  <c r="U136" i="4"/>
  <c r="U111" i="4"/>
  <c r="U84" i="4"/>
  <c r="U38" i="4"/>
  <c r="U90" i="4"/>
  <c r="U92" i="4"/>
  <c r="U65" i="4"/>
  <c r="U52" i="4"/>
  <c r="U87" i="4"/>
  <c r="U51" i="4"/>
  <c r="U55" i="4"/>
  <c r="U10" i="4"/>
  <c r="U101" i="4"/>
  <c r="U107" i="4"/>
  <c r="U180" i="4"/>
  <c r="U19" i="4"/>
  <c r="U29" i="4"/>
  <c r="U86" i="4"/>
  <c r="U97" i="4"/>
  <c r="U112" i="4"/>
  <c r="U48" i="4"/>
  <c r="U157" i="4"/>
  <c r="U17" i="4"/>
  <c r="U141" i="4"/>
  <c r="U118" i="4"/>
  <c r="U31" i="4"/>
  <c r="U182" i="4"/>
  <c r="U170" i="4"/>
  <c r="U78" i="4"/>
  <c r="U173" i="4"/>
  <c r="U11" i="4"/>
  <c r="U174" i="4"/>
  <c r="U41" i="4"/>
  <c r="U175" i="4"/>
  <c r="U42" i="4"/>
  <c r="U162" i="4"/>
  <c r="U88" i="4"/>
  <c r="U140" i="4"/>
  <c r="U27" i="4"/>
  <c r="U169" i="4"/>
  <c r="U13" i="4"/>
  <c r="U96" i="4"/>
  <c r="U156" i="4"/>
  <c r="U50" i="4"/>
  <c r="U76" i="4"/>
  <c r="U30" i="4"/>
  <c r="U155" i="4"/>
  <c r="U127" i="4"/>
  <c r="U12" i="4"/>
  <c r="U106" i="4"/>
  <c r="U166" i="4"/>
  <c r="U16" i="4"/>
  <c r="U68" i="4"/>
  <c r="U132" i="4"/>
  <c r="U128" i="4"/>
  <c r="U37" i="4"/>
  <c r="U60" i="4"/>
  <c r="U100" i="4"/>
  <c r="U40" i="4"/>
  <c r="U171" i="4"/>
  <c r="U179" i="4"/>
  <c r="E130" i="4"/>
  <c r="E13" i="4"/>
  <c r="E79" i="4"/>
  <c r="E142" i="4"/>
  <c r="E107" i="4"/>
  <c r="E175" i="4"/>
  <c r="E136" i="4"/>
  <c r="E22" i="4"/>
  <c r="E32" i="4"/>
  <c r="E152" i="4"/>
  <c r="E114" i="4"/>
  <c r="E9" i="4"/>
  <c r="E153" i="4"/>
  <c r="E144" i="4"/>
  <c r="E41" i="4"/>
  <c r="E72" i="4"/>
  <c r="E19" i="4"/>
  <c r="E29" i="4"/>
  <c r="E96" i="4"/>
  <c r="E168" i="4"/>
  <c r="E57" i="4"/>
  <c r="E82" i="4"/>
  <c r="E150" i="4"/>
  <c r="E60" i="4"/>
  <c r="E21" i="4"/>
  <c r="E126" i="4"/>
  <c r="E44" i="4"/>
  <c r="E90" i="4"/>
  <c r="E28" i="4"/>
  <c r="E94" i="4"/>
  <c r="E99" i="4"/>
  <c r="E63" i="4"/>
  <c r="E140" i="4"/>
  <c r="G144" i="4"/>
  <c r="E111" i="4"/>
  <c r="E16" i="4"/>
  <c r="E77" i="4"/>
  <c r="H54" i="4"/>
  <c r="F146" i="4"/>
  <c r="F170" i="4"/>
  <c r="I140" i="4"/>
  <c r="G8" i="4"/>
  <c r="I164" i="4"/>
  <c r="H155" i="4"/>
  <c r="I80" i="4"/>
  <c r="F39" i="4"/>
  <c r="F122" i="4"/>
  <c r="I131" i="4"/>
  <c r="H5" i="4"/>
  <c r="H181" i="4"/>
  <c r="I104" i="4"/>
  <c r="G129" i="4"/>
  <c r="G116" i="4"/>
  <c r="I115" i="4"/>
  <c r="E127" i="4"/>
  <c r="H43" i="4"/>
  <c r="E131" i="4"/>
  <c r="H136" i="4"/>
  <c r="F24" i="4"/>
  <c r="E98" i="4"/>
  <c r="E56" i="4"/>
  <c r="G21" i="4"/>
  <c r="E88" i="4"/>
  <c r="E179" i="4"/>
  <c r="E157" i="4"/>
  <c r="E58" i="4"/>
  <c r="H60" i="4"/>
  <c r="G180" i="4"/>
  <c r="I120" i="4"/>
  <c r="I17" i="4"/>
  <c r="F100" i="4"/>
  <c r="I125" i="4"/>
  <c r="I180" i="4"/>
  <c r="G146" i="4"/>
  <c r="G170" i="4"/>
  <c r="I23" i="4"/>
  <c r="H158" i="4"/>
  <c r="I14" i="4"/>
  <c r="I134" i="4"/>
  <c r="I27" i="4"/>
  <c r="F172" i="4"/>
  <c r="I94" i="4"/>
  <c r="G50" i="4"/>
  <c r="G125" i="4"/>
  <c r="I181" i="4"/>
  <c r="I126" i="4"/>
  <c r="H137" i="4"/>
  <c r="H7" i="4"/>
  <c r="I30" i="4"/>
  <c r="I142" i="4"/>
  <c r="G78" i="4"/>
  <c r="I182" i="4"/>
  <c r="I110" i="4"/>
  <c r="H112" i="4"/>
  <c r="G179" i="4"/>
  <c r="E173" i="4"/>
  <c r="G43" i="4"/>
  <c r="E118" i="4"/>
  <c r="E172" i="4"/>
  <c r="G90" i="4"/>
  <c r="E68" i="4"/>
  <c r="E31" i="4"/>
  <c r="E38" i="4"/>
  <c r="F31" i="4"/>
  <c r="F45" i="4"/>
  <c r="G100" i="4"/>
  <c r="I59" i="4"/>
  <c r="I128" i="4"/>
  <c r="H6" i="4"/>
  <c r="I148" i="4"/>
  <c r="F133" i="4"/>
  <c r="I146" i="4"/>
  <c r="I135" i="4"/>
  <c r="G160" i="4"/>
  <c r="G127" i="4"/>
  <c r="I44" i="4"/>
  <c r="H85" i="4"/>
  <c r="G118" i="4"/>
  <c r="G176" i="4"/>
  <c r="I6" i="4"/>
  <c r="H129" i="4"/>
  <c r="H116" i="4"/>
  <c r="I19" i="4"/>
  <c r="E181" i="4"/>
  <c r="G112" i="4"/>
  <c r="G41" i="4"/>
  <c r="E148" i="4"/>
  <c r="F123" i="4"/>
  <c r="E18" i="4"/>
  <c r="F150" i="4"/>
  <c r="H124" i="4"/>
  <c r="E67" i="4"/>
  <c r="E10" i="4"/>
  <c r="E84" i="4"/>
  <c r="E166" i="4"/>
  <c r="I10" i="4"/>
  <c r="I67" i="4"/>
  <c r="F173" i="4"/>
  <c r="I92" i="4"/>
  <c r="G31" i="4"/>
  <c r="G45" i="4"/>
  <c r="I37" i="4"/>
  <c r="H8" i="4"/>
  <c r="F51" i="4"/>
  <c r="I12" i="4"/>
  <c r="G39" i="4"/>
  <c r="G122" i="4"/>
  <c r="G33" i="4"/>
  <c r="I127" i="4"/>
  <c r="H64" i="4"/>
  <c r="I47" i="4"/>
  <c r="I107" i="4"/>
  <c r="G48" i="4"/>
  <c r="G53" i="4"/>
  <c r="E124" i="4"/>
  <c r="E108" i="4"/>
  <c r="E158" i="4"/>
  <c r="E27" i="4"/>
  <c r="E134" i="4"/>
  <c r="E14" i="4"/>
  <c r="F98" i="4"/>
  <c r="F132" i="4"/>
  <c r="H28" i="4"/>
  <c r="E85" i="4"/>
  <c r="F37" i="4"/>
  <c r="I31" i="4"/>
  <c r="I68" i="4"/>
  <c r="F115" i="4"/>
  <c r="F25" i="4"/>
  <c r="G173" i="4"/>
  <c r="H146" i="4"/>
  <c r="H170" i="4"/>
  <c r="F92" i="4"/>
  <c r="F169" i="4"/>
  <c r="F157" i="4"/>
  <c r="I75" i="4"/>
  <c r="I60" i="4"/>
  <c r="G172" i="4"/>
  <c r="I102" i="4"/>
  <c r="I32" i="4"/>
  <c r="G70" i="4"/>
  <c r="G159" i="4"/>
  <c r="I105" i="4"/>
  <c r="E71" i="4"/>
  <c r="H46" i="4"/>
  <c r="E139" i="4"/>
  <c r="E80" i="4"/>
  <c r="E37" i="4"/>
  <c r="E169" i="4"/>
  <c r="H89" i="4"/>
  <c r="E17" i="4"/>
  <c r="E120" i="4"/>
  <c r="H150" i="4"/>
  <c r="H184" i="4"/>
  <c r="E34" i="4"/>
  <c r="F128" i="4"/>
  <c r="I58" i="4"/>
  <c r="F120" i="4"/>
  <c r="I50" i="4"/>
  <c r="I11" i="4"/>
  <c r="I20" i="4"/>
  <c r="G115" i="4"/>
  <c r="I150" i="4"/>
  <c r="I18" i="4"/>
  <c r="H100" i="4"/>
  <c r="I99" i="4"/>
  <c r="F5" i="4"/>
  <c r="F181" i="4"/>
  <c r="I101" i="4"/>
  <c r="G133" i="4"/>
  <c r="H50" i="4"/>
  <c r="H125" i="4"/>
  <c r="G56" i="4"/>
  <c r="G87" i="4"/>
  <c r="E89" i="4"/>
  <c r="H32" i="4"/>
  <c r="E184" i="4"/>
  <c r="E151" i="4"/>
  <c r="E128" i="4"/>
  <c r="E59" i="4"/>
  <c r="E174" i="4"/>
  <c r="E5" i="4"/>
  <c r="E170" i="4"/>
  <c r="E95" i="4"/>
  <c r="E156" i="4"/>
  <c r="E23" i="4"/>
  <c r="H90" i="4"/>
  <c r="G44" i="4"/>
  <c r="E20" i="4"/>
  <c r="E11" i="4"/>
  <c r="E50" i="4"/>
  <c r="E97" i="4"/>
  <c r="E103" i="4"/>
  <c r="E8" i="4"/>
  <c r="G71" i="4"/>
  <c r="E76" i="4"/>
  <c r="F164" i="4"/>
  <c r="I162" i="4"/>
  <c r="F113" i="4"/>
  <c r="F182" i="4"/>
  <c r="I169" i="4"/>
  <c r="G131" i="4"/>
  <c r="G139" i="4"/>
  <c r="I56" i="4"/>
  <c r="I98" i="4"/>
  <c r="H173" i="4"/>
  <c r="I141" i="4"/>
  <c r="F85" i="4"/>
  <c r="I89" i="4"/>
  <c r="G92" i="4"/>
  <c r="G169" i="4"/>
  <c r="G157" i="4"/>
  <c r="I160" i="4"/>
  <c r="I90" i="4"/>
  <c r="H39" i="4"/>
  <c r="H122" i="4"/>
  <c r="G65" i="4"/>
  <c r="G117" i="4"/>
  <c r="I15" i="4"/>
  <c r="E138" i="4"/>
  <c r="E133" i="4"/>
  <c r="H98" i="4"/>
  <c r="E101" i="4"/>
  <c r="E66" i="4"/>
  <c r="F161" i="4"/>
  <c r="E164" i="4"/>
  <c r="G126" i="4"/>
  <c r="E86" i="4"/>
  <c r="E155" i="4"/>
  <c r="E91" i="4"/>
  <c r="E177" i="4"/>
  <c r="E167" i="4"/>
  <c r="H67" i="4"/>
  <c r="I45" i="4"/>
  <c r="I163" i="4"/>
  <c r="F155" i="4"/>
  <c r="I85" i="4"/>
  <c r="G113" i="4"/>
  <c r="G182" i="4"/>
  <c r="I63" i="4"/>
  <c r="H115" i="4"/>
  <c r="H25" i="4"/>
  <c r="I55" i="4"/>
  <c r="F64" i="4"/>
  <c r="I139" i="4"/>
  <c r="G5" i="4"/>
  <c r="G181" i="4"/>
  <c r="I133" i="4"/>
  <c r="I138" i="4"/>
  <c r="I21" i="4"/>
  <c r="I28" i="4"/>
  <c r="H172" i="4"/>
  <c r="I61" i="4"/>
  <c r="I130" i="4"/>
  <c r="G63" i="4"/>
  <c r="I25" i="4"/>
  <c r="E160" i="4"/>
  <c r="E75" i="4"/>
  <c r="G98" i="4"/>
  <c r="E55" i="4"/>
  <c r="F43" i="4"/>
  <c r="E87" i="4"/>
  <c r="E92" i="4"/>
  <c r="F90" i="4"/>
  <c r="H141" i="4"/>
  <c r="F158" i="4"/>
  <c r="F94" i="4"/>
  <c r="G155" i="4"/>
  <c r="I147" i="4"/>
  <c r="I112" i="4"/>
  <c r="I66" i="4"/>
  <c r="I158" i="4"/>
  <c r="I108" i="4"/>
  <c r="I124" i="4"/>
  <c r="G137" i="4"/>
  <c r="G7" i="4"/>
  <c r="I5" i="4"/>
  <c r="I174" i="4"/>
  <c r="H133" i="4"/>
  <c r="I136" i="4"/>
  <c r="I152" i="4"/>
  <c r="I113" i="4"/>
  <c r="E64" i="4"/>
  <c r="H110" i="4"/>
  <c r="E12" i="4"/>
  <c r="E141" i="4"/>
  <c r="F112" i="4"/>
  <c r="E176" i="4"/>
  <c r="G150" i="4"/>
  <c r="H135" i="4"/>
  <c r="E163" i="4"/>
  <c r="E45" i="4"/>
  <c r="H171" i="4"/>
  <c r="E62" i="4"/>
  <c r="F147" i="4"/>
  <c r="I155" i="4"/>
  <c r="I86" i="4"/>
  <c r="F6" i="4"/>
  <c r="F119" i="4"/>
  <c r="I172" i="4"/>
  <c r="G158" i="4"/>
  <c r="I176" i="4"/>
  <c r="H131" i="4"/>
  <c r="H139" i="4"/>
  <c r="I156" i="4"/>
  <c r="I95" i="4"/>
  <c r="F50" i="4"/>
  <c r="F125" i="4"/>
  <c r="G85" i="4"/>
  <c r="H51" i="4"/>
  <c r="I73" i="4"/>
  <c r="I13" i="4"/>
  <c r="I119" i="4"/>
  <c r="E135" i="4"/>
  <c r="E146" i="4"/>
  <c r="H22" i="4"/>
  <c r="E171" i="4"/>
  <c r="E112" i="4"/>
  <c r="E147" i="4"/>
  <c r="E180" i="4"/>
  <c r="E125" i="4"/>
  <c r="G28" i="4"/>
  <c r="E162" i="4"/>
  <c r="I8" i="4"/>
  <c r="I103" i="4"/>
  <c r="I97" i="4"/>
  <c r="F8" i="4"/>
  <c r="F10" i="4"/>
  <c r="I157" i="4"/>
  <c r="I179" i="4"/>
  <c r="I88" i="4"/>
  <c r="G6" i="4"/>
  <c r="I87" i="4"/>
  <c r="H113" i="4"/>
  <c r="H182" i="4"/>
  <c r="I151" i="4"/>
  <c r="I184" i="4"/>
  <c r="F160" i="4"/>
  <c r="F127" i="4"/>
  <c r="I173" i="4"/>
  <c r="G64" i="4"/>
  <c r="I71" i="4"/>
  <c r="H92" i="4"/>
  <c r="H169" i="4"/>
  <c r="H157" i="4"/>
  <c r="I52" i="4"/>
  <c r="I79" i="4"/>
  <c r="I22" i="4"/>
  <c r="I114" i="4"/>
  <c r="G23" i="4"/>
  <c r="I154" i="4"/>
  <c r="H45" i="4"/>
  <c r="G36" i="4"/>
  <c r="I54" i="4"/>
  <c r="H176" i="4"/>
  <c r="H159" i="4"/>
  <c r="I51" i="4"/>
  <c r="F30" i="4"/>
  <c r="G156" i="4"/>
  <c r="H174" i="4"/>
  <c r="H126" i="4"/>
  <c r="H119" i="4"/>
  <c r="F40" i="4"/>
  <c r="F78" i="4"/>
  <c r="G123" i="4"/>
  <c r="H34" i="4"/>
  <c r="H164" i="4"/>
  <c r="F176" i="4"/>
  <c r="H80" i="4"/>
  <c r="G142" i="4"/>
  <c r="G136" i="4"/>
  <c r="F53" i="4"/>
  <c r="F101" i="4"/>
  <c r="F108" i="4"/>
  <c r="F124" i="4"/>
  <c r="I145" i="4"/>
  <c r="G111" i="4"/>
  <c r="G86" i="4"/>
  <c r="I177" i="4"/>
  <c r="F56" i="4"/>
  <c r="G51" i="4"/>
  <c r="H53" i="4"/>
  <c r="I7" i="4"/>
  <c r="F34" i="4"/>
  <c r="I78" i="4"/>
  <c r="I93" i="4"/>
  <c r="G61" i="4"/>
  <c r="G104" i="4"/>
  <c r="G102" i="4"/>
  <c r="G119" i="4"/>
  <c r="H72" i="4"/>
  <c r="H29" i="4"/>
  <c r="H57" i="4"/>
  <c r="I129" i="4"/>
  <c r="F117" i="4"/>
  <c r="H123" i="4"/>
  <c r="E178" i="4"/>
  <c r="I64" i="4"/>
  <c r="H118" i="4"/>
  <c r="H70" i="4"/>
  <c r="F80" i="4"/>
  <c r="F55" i="4"/>
  <c r="I159" i="4"/>
  <c r="I69" i="4"/>
  <c r="G62" i="4"/>
  <c r="G83" i="4"/>
  <c r="F129" i="4"/>
  <c r="H10" i="4"/>
  <c r="H140" i="4"/>
  <c r="F26" i="4"/>
  <c r="G18" i="4"/>
  <c r="G147" i="4"/>
  <c r="F13" i="4"/>
  <c r="F175" i="4"/>
  <c r="H13" i="4"/>
  <c r="H175" i="4"/>
  <c r="H165" i="4"/>
  <c r="F103" i="4"/>
  <c r="F162" i="4"/>
  <c r="F97" i="4"/>
  <c r="I24" i="4"/>
  <c r="G46" i="4"/>
  <c r="I91" i="4"/>
  <c r="H101" i="4"/>
  <c r="H108" i="4"/>
  <c r="F87" i="4"/>
  <c r="F11" i="4"/>
  <c r="E83" i="4"/>
  <c r="I100" i="4"/>
  <c r="H48" i="4"/>
  <c r="H87" i="4"/>
  <c r="H117" i="4"/>
  <c r="I33" i="4"/>
  <c r="F73" i="4"/>
  <c r="I117" i="4"/>
  <c r="I109" i="4"/>
  <c r="I81" i="4"/>
  <c r="G151" i="4"/>
  <c r="F36" i="4"/>
  <c r="H44" i="4"/>
  <c r="H52" i="4"/>
  <c r="F109" i="4"/>
  <c r="G49" i="4"/>
  <c r="I34" i="4"/>
  <c r="G77" i="4"/>
  <c r="H18" i="4"/>
  <c r="H147" i="4"/>
  <c r="I48" i="4"/>
  <c r="F177" i="4"/>
  <c r="F16" i="4"/>
  <c r="F91" i="4"/>
  <c r="G13" i="4"/>
  <c r="G175" i="4"/>
  <c r="I36" i="4"/>
  <c r="H177" i="4"/>
  <c r="H16" i="4"/>
  <c r="H61" i="4"/>
  <c r="F135" i="4"/>
  <c r="G103" i="4"/>
  <c r="G162" i="4"/>
  <c r="G97" i="4"/>
  <c r="H154" i="4"/>
  <c r="I171" i="4"/>
  <c r="I9" i="4"/>
  <c r="F167" i="4"/>
  <c r="F77" i="4"/>
  <c r="G30" i="4"/>
  <c r="H153" i="4"/>
  <c r="H19" i="4"/>
  <c r="H96" i="4"/>
  <c r="H82" i="4"/>
  <c r="H30" i="4"/>
  <c r="G143" i="4"/>
  <c r="G183" i="4"/>
  <c r="G121" i="4"/>
  <c r="G93" i="4"/>
  <c r="H49" i="4"/>
  <c r="H77" i="4"/>
  <c r="F134" i="4"/>
  <c r="F99" i="4"/>
  <c r="I62" i="4"/>
  <c r="H55" i="4"/>
  <c r="G177" i="4"/>
  <c r="G16" i="4"/>
  <c r="G91" i="4"/>
  <c r="I116" i="4"/>
  <c r="H120" i="4"/>
  <c r="H134" i="4"/>
  <c r="H99" i="4"/>
  <c r="H73" i="4"/>
  <c r="F35" i="4"/>
  <c r="F15" i="4"/>
  <c r="G135" i="4"/>
  <c r="H103" i="4"/>
  <c r="F137" i="4"/>
  <c r="H56" i="4"/>
  <c r="F66" i="4"/>
  <c r="F14" i="4"/>
  <c r="I183" i="4"/>
  <c r="G34" i="4"/>
  <c r="H11" i="4"/>
  <c r="H180" i="4"/>
  <c r="H20" i="4"/>
  <c r="H47" i="4"/>
  <c r="G59" i="4"/>
  <c r="G128" i="4"/>
  <c r="H143" i="4"/>
  <c r="H183" i="4"/>
  <c r="H121" i="4"/>
  <c r="H93" i="4"/>
  <c r="F79" i="4"/>
  <c r="F107" i="4"/>
  <c r="F22" i="4"/>
  <c r="G120" i="4"/>
  <c r="G134" i="4"/>
  <c r="G99" i="4"/>
  <c r="H79" i="4"/>
  <c r="H107" i="4"/>
  <c r="H104" i="4"/>
  <c r="F68" i="4"/>
  <c r="F163" i="4"/>
  <c r="G35" i="4"/>
  <c r="G15" i="4"/>
  <c r="H62" i="4"/>
  <c r="F33" i="4"/>
  <c r="H160" i="4"/>
  <c r="I35" i="4"/>
  <c r="H36" i="4"/>
  <c r="I137" i="4"/>
  <c r="I29" i="4"/>
  <c r="F52" i="4"/>
  <c r="F47" i="4"/>
  <c r="I165" i="4"/>
  <c r="G80" i="4"/>
  <c r="G55" i="4"/>
  <c r="F116" i="4"/>
  <c r="H71" i="4"/>
  <c r="I132" i="4"/>
  <c r="H94" i="4"/>
  <c r="G106" i="4"/>
  <c r="G145" i="4"/>
  <c r="G74" i="4"/>
  <c r="G24" i="4"/>
  <c r="H59" i="4"/>
  <c r="H128" i="4"/>
  <c r="F166" i="4"/>
  <c r="F84" i="4"/>
  <c r="G79" i="4"/>
  <c r="G107" i="4"/>
  <c r="G22" i="4"/>
  <c r="H166" i="4"/>
  <c r="F12" i="4"/>
  <c r="F89" i="4"/>
  <c r="F70" i="4"/>
  <c r="G68" i="4"/>
  <c r="G163" i="4"/>
  <c r="H167" i="4"/>
  <c r="H35" i="4"/>
  <c r="H15" i="4"/>
  <c r="I118" i="4"/>
  <c r="F7" i="4"/>
  <c r="H65" i="4"/>
  <c r="I39" i="4"/>
  <c r="I96" i="4"/>
  <c r="F76" i="4"/>
  <c r="I65" i="4"/>
  <c r="I42" i="4"/>
  <c r="G73" i="4"/>
  <c r="H144" i="4"/>
  <c r="I83" i="4"/>
  <c r="F18" i="4"/>
  <c r="F9" i="4"/>
  <c r="G40" i="4"/>
  <c r="G69" i="4"/>
  <c r="H106" i="4"/>
  <c r="H145" i="4"/>
  <c r="H74" i="4"/>
  <c r="H24" i="4"/>
  <c r="I74" i="4"/>
  <c r="F148" i="4"/>
  <c r="F95" i="4"/>
  <c r="F171" i="4"/>
  <c r="G166" i="4"/>
  <c r="G84" i="4"/>
  <c r="I161" i="4"/>
  <c r="I111" i="4"/>
  <c r="I170" i="4"/>
  <c r="H127" i="4"/>
  <c r="H63" i="4"/>
  <c r="H23" i="4"/>
  <c r="I153" i="4"/>
  <c r="F156" i="4"/>
  <c r="G167" i="4"/>
  <c r="I53" i="4"/>
  <c r="I77" i="4"/>
  <c r="F49" i="4"/>
  <c r="G37" i="4"/>
  <c r="G9" i="4"/>
  <c r="H40" i="4"/>
  <c r="H69" i="4"/>
  <c r="I123" i="4"/>
  <c r="F32" i="4"/>
  <c r="G148" i="4"/>
  <c r="G95" i="4"/>
  <c r="G171" i="4"/>
  <c r="F17" i="4"/>
  <c r="F58" i="4"/>
  <c r="F159" i="4"/>
  <c r="G105" i="4"/>
  <c r="H12" i="4"/>
  <c r="I26" i="4"/>
  <c r="F131" i="4"/>
  <c r="H78" i="4"/>
  <c r="I144" i="4"/>
  <c r="I168" i="4"/>
  <c r="F61" i="4"/>
  <c r="F104" i="4"/>
  <c r="F102" i="4"/>
  <c r="I143" i="4"/>
  <c r="I121" i="4"/>
  <c r="G66" i="4"/>
  <c r="G14" i="4"/>
  <c r="H138" i="4"/>
  <c r="H21" i="4"/>
  <c r="I178" i="4"/>
  <c r="F143" i="4"/>
  <c r="F183" i="4"/>
  <c r="F65" i="4"/>
  <c r="G26" i="4"/>
  <c r="G161" i="4"/>
  <c r="G132" i="4"/>
  <c r="H37" i="4"/>
  <c r="H9" i="4"/>
  <c r="F178" i="4"/>
  <c r="F38" i="4"/>
  <c r="G32" i="4"/>
  <c r="G165" i="4"/>
  <c r="H178" i="4"/>
  <c r="F75" i="4"/>
  <c r="G17" i="4"/>
  <c r="G58" i="4"/>
  <c r="H105" i="4"/>
  <c r="F28" i="4"/>
  <c r="I175" i="4"/>
  <c r="I46" i="4"/>
  <c r="I41" i="4"/>
  <c r="I57" i="4"/>
  <c r="F62" i="4"/>
  <c r="F83" i="4"/>
  <c r="I70" i="4"/>
  <c r="I40" i="4"/>
  <c r="G52" i="4"/>
  <c r="G47" i="4"/>
  <c r="I106" i="4"/>
  <c r="H41" i="4"/>
  <c r="H168" i="4"/>
  <c r="I16" i="4"/>
  <c r="F59" i="4"/>
  <c r="G109" i="4"/>
  <c r="G42" i="4"/>
  <c r="G149" i="4"/>
  <c r="G81" i="4"/>
  <c r="H26" i="4"/>
  <c r="H161" i="4"/>
  <c r="H132" i="4"/>
  <c r="F118" i="4"/>
  <c r="F184" i="4"/>
  <c r="F141" i="4"/>
  <c r="F165" i="4"/>
  <c r="G178" i="4"/>
  <c r="G38" i="4"/>
  <c r="F48" i="4"/>
  <c r="F110" i="4"/>
  <c r="G75" i="4"/>
  <c r="I167" i="4"/>
  <c r="G25" i="4"/>
  <c r="H17" i="4"/>
  <c r="G130" i="4"/>
  <c r="F139" i="4"/>
  <c r="H31" i="4"/>
  <c r="I122" i="4"/>
  <c r="I72" i="4"/>
  <c r="I82" i="4"/>
  <c r="F151" i="4"/>
  <c r="I149" i="4"/>
  <c r="G76" i="4"/>
  <c r="H179" i="4"/>
  <c r="H88" i="4"/>
  <c r="G94" i="4"/>
  <c r="F106" i="4"/>
  <c r="F145" i="4"/>
  <c r="F74" i="4"/>
  <c r="G164" i="4"/>
  <c r="H76" i="4"/>
  <c r="H109" i="4"/>
  <c r="H42" i="4"/>
  <c r="H149" i="4"/>
  <c r="H81" i="4"/>
  <c r="F63" i="4"/>
  <c r="F142" i="4"/>
  <c r="F136" i="4"/>
  <c r="H156" i="4"/>
  <c r="G184" i="4"/>
  <c r="G141" i="4"/>
  <c r="H142" i="4"/>
  <c r="I166" i="4"/>
  <c r="F111" i="4"/>
  <c r="F86" i="4"/>
  <c r="G110" i="4"/>
  <c r="H75" i="4"/>
  <c r="I43" i="4"/>
  <c r="F105" i="4"/>
  <c r="G12" i="4"/>
  <c r="I38" i="4"/>
  <c r="F174" i="4"/>
  <c r="F126" i="4"/>
  <c r="E149" i="4"/>
  <c r="G88" i="4"/>
  <c r="F60" i="4"/>
  <c r="E35" i="4"/>
  <c r="E100" i="4"/>
  <c r="H84" i="4"/>
  <c r="G27" i="4"/>
  <c r="G72" i="4"/>
  <c r="E106" i="4"/>
  <c r="E53" i="4"/>
  <c r="F152" i="4"/>
  <c r="G101" i="4"/>
  <c r="H83" i="4"/>
  <c r="I49" i="4"/>
  <c r="F72" i="4"/>
  <c r="F29" i="4"/>
  <c r="F57" i="4"/>
  <c r="G174" i="4"/>
  <c r="E40" i="4"/>
  <c r="E70" i="4"/>
  <c r="G154" i="4"/>
  <c r="E7" i="4"/>
  <c r="E6" i="4"/>
  <c r="H152" i="4"/>
  <c r="E102" i="4"/>
  <c r="E43" i="4"/>
  <c r="E49" i="4"/>
  <c r="G96" i="4"/>
  <c r="G140" i="4"/>
  <c r="G114" i="4"/>
  <c r="H148" i="4"/>
  <c r="F140" i="4"/>
  <c r="H130" i="4"/>
  <c r="E121" i="4"/>
  <c r="E143" i="4"/>
  <c r="E51" i="4"/>
  <c r="E54" i="4"/>
  <c r="E110" i="4"/>
  <c r="E182" i="4"/>
  <c r="E47" i="4"/>
  <c r="F81" i="4"/>
  <c r="G29" i="4"/>
  <c r="F88" i="4"/>
  <c r="H38" i="4"/>
  <c r="G108" i="4"/>
  <c r="F130" i="4"/>
  <c r="F23" i="4"/>
  <c r="F44" i="4"/>
  <c r="H66" i="4"/>
  <c r="G10" i="4"/>
  <c r="G67" i="4"/>
  <c r="E122" i="4"/>
  <c r="H97" i="4"/>
  <c r="E115" i="4"/>
  <c r="F69" i="4"/>
  <c r="E161" i="4"/>
  <c r="E36" i="4"/>
  <c r="E105" i="4"/>
  <c r="F153" i="4"/>
  <c r="F19" i="4"/>
  <c r="F96" i="4"/>
  <c r="F82" i="4"/>
  <c r="H151" i="4"/>
  <c r="E42" i="4"/>
  <c r="E65" i="4"/>
  <c r="H86" i="4"/>
  <c r="E154" i="4"/>
  <c r="E30" i="4"/>
  <c r="F93" i="4"/>
  <c r="E74" i="4"/>
  <c r="E48" i="4"/>
  <c r="F180" i="4"/>
  <c r="F20" i="4"/>
  <c r="H14" i="4"/>
  <c r="E165" i="4"/>
  <c r="F154" i="4"/>
  <c r="E119" i="4"/>
  <c r="H91" i="4"/>
  <c r="E104" i="4"/>
  <c r="G152" i="4"/>
  <c r="E129" i="4"/>
  <c r="G19" i="4"/>
  <c r="F179" i="4"/>
  <c r="H95" i="4"/>
  <c r="F71" i="4"/>
  <c r="G11" i="4"/>
  <c r="E183" i="4"/>
  <c r="G20" i="4"/>
  <c r="H163" i="4"/>
  <c r="E113" i="4"/>
  <c r="E52" i="4"/>
  <c r="F149" i="4"/>
  <c r="F114" i="4"/>
  <c r="I84" i="4"/>
  <c r="F46" i="4"/>
  <c r="F144" i="4"/>
  <c r="G54" i="4"/>
  <c r="E39" i="4"/>
  <c r="F67" i="4"/>
  <c r="H162" i="4"/>
  <c r="E25" i="4"/>
  <c r="H114" i="4"/>
  <c r="E73" i="4"/>
  <c r="E26" i="4"/>
  <c r="F27" i="4"/>
  <c r="H102" i="4"/>
  <c r="G89" i="4"/>
  <c r="E81" i="4"/>
  <c r="E109" i="4"/>
  <c r="E117" i="4"/>
  <c r="G60" i="4"/>
  <c r="H111" i="4"/>
  <c r="E15" i="4"/>
  <c r="H27" i="4"/>
  <c r="F121" i="4"/>
  <c r="E24" i="4"/>
  <c r="E145" i="4"/>
  <c r="F54" i="4"/>
  <c r="E132" i="4"/>
  <c r="G124" i="4"/>
  <c r="F138" i="4"/>
  <c r="F21" i="4"/>
  <c r="I76" i="4"/>
  <c r="H33" i="4"/>
  <c r="E69" i="4"/>
  <c r="E159" i="4"/>
  <c r="G153" i="4"/>
  <c r="E137" i="4"/>
  <c r="H58" i="4"/>
  <c r="E46" i="4"/>
  <c r="E61" i="4"/>
  <c r="E116" i="4"/>
  <c r="G82" i="4"/>
  <c r="E33" i="4"/>
  <c r="F41" i="4"/>
  <c r="F168" i="4"/>
  <c r="G138" i="4"/>
  <c r="E93" i="4"/>
  <c r="E78" i="4"/>
  <c r="H68" i="4"/>
  <c r="F42" i="4"/>
  <c r="E123" i="4"/>
  <c r="G57" i="4"/>
  <c r="G168" i="4"/>
  <c r="O31" i="4"/>
  <c r="O45" i="4"/>
  <c r="O155" i="4"/>
  <c r="O8" i="4"/>
  <c r="O120" i="4"/>
  <c r="O10" i="4"/>
  <c r="O103" i="4"/>
  <c r="O17" i="4"/>
  <c r="O68" i="4"/>
  <c r="O58" i="4"/>
  <c r="O111" i="4"/>
  <c r="O162" i="4"/>
  <c r="O163" i="4"/>
  <c r="O86" i="4"/>
  <c r="O97" i="4"/>
  <c r="O67" i="4"/>
  <c r="K113" i="4"/>
  <c r="K118" i="4"/>
  <c r="Q118" i="4" s="1"/>
  <c r="K62" i="4"/>
  <c r="K56" i="4"/>
  <c r="K64" i="4"/>
  <c r="K63" i="4"/>
  <c r="Q63" i="4" s="1"/>
  <c r="K160" i="4"/>
  <c r="K115" i="4"/>
  <c r="K167" i="4"/>
  <c r="K133" i="4"/>
  <c r="K182" i="4"/>
  <c r="K76" i="4"/>
  <c r="K176" i="4"/>
  <c r="K5" i="4"/>
  <c r="Q5" i="4" s="1"/>
  <c r="K6" i="4"/>
  <c r="K83" i="4"/>
  <c r="K87" i="4"/>
  <c r="K100" i="4"/>
  <c r="K34" i="4"/>
  <c r="K23" i="4"/>
  <c r="K181" i="4"/>
  <c r="K127" i="4"/>
  <c r="O92" i="4"/>
  <c r="O50" i="4"/>
  <c r="O169" i="4"/>
  <c r="O85" i="4"/>
  <c r="O172" i="4"/>
  <c r="O157" i="4"/>
  <c r="O125" i="4"/>
  <c r="O11" i="4"/>
  <c r="O179" i="4"/>
  <c r="O180" i="4"/>
  <c r="O20" i="4"/>
  <c r="O88" i="4"/>
  <c r="O140" i="4"/>
  <c r="L113" i="4"/>
  <c r="L118" i="4"/>
  <c r="L62" i="4"/>
  <c r="R62" i="4" s="1"/>
  <c r="L56" i="4"/>
  <c r="L64" i="4"/>
  <c r="L63" i="4"/>
  <c r="L160" i="4"/>
  <c r="R160" i="4" s="1"/>
  <c r="L115" i="4"/>
  <c r="L167" i="4"/>
  <c r="L133" i="4"/>
  <c r="L182" i="4"/>
  <c r="L76" i="4"/>
  <c r="L176" i="4"/>
  <c r="L5" i="4"/>
  <c r="L6" i="4"/>
  <c r="L83" i="4"/>
  <c r="L87" i="4"/>
  <c r="L100" i="4"/>
  <c r="L34" i="4"/>
  <c r="L23" i="4"/>
  <c r="O150" i="4"/>
  <c r="O118" i="4"/>
  <c r="O56" i="4"/>
  <c r="O63" i="4"/>
  <c r="O176" i="4"/>
  <c r="O87" i="4"/>
  <c r="O23" i="4"/>
  <c r="O59" i="4"/>
  <c r="O18" i="4"/>
  <c r="O147" i="4"/>
  <c r="O164" i="4"/>
  <c r="O128" i="4"/>
  <c r="O37" i="4"/>
  <c r="O98" i="4"/>
  <c r="O112" i="4"/>
  <c r="M113" i="4"/>
  <c r="S113" i="4" s="1"/>
  <c r="M118" i="4"/>
  <c r="M62" i="4"/>
  <c r="M56" i="4"/>
  <c r="M64" i="4"/>
  <c r="M63" i="4"/>
  <c r="M160" i="4"/>
  <c r="M115" i="4"/>
  <c r="M167" i="4"/>
  <c r="M133" i="4"/>
  <c r="M182" i="4"/>
  <c r="M76" i="4"/>
  <c r="M176" i="4"/>
  <c r="M5" i="4"/>
  <c r="M6" i="4"/>
  <c r="M83" i="4"/>
  <c r="M87" i="4"/>
  <c r="M100" i="4"/>
  <c r="M34" i="4"/>
  <c r="M23" i="4"/>
  <c r="S23" i="4" s="1"/>
  <c r="O66" i="4"/>
  <c r="O156" i="4"/>
  <c r="O151" i="4"/>
  <c r="O80" i="4"/>
  <c r="O14" i="4"/>
  <c r="O55" i="4"/>
  <c r="O134" i="4"/>
  <c r="O148" i="4"/>
  <c r="O99" i="4"/>
  <c r="O95" i="4"/>
  <c r="O184" i="4"/>
  <c r="O171" i="4"/>
  <c r="O141" i="4"/>
  <c r="O27" i="4"/>
  <c r="N113" i="4"/>
  <c r="N118" i="4"/>
  <c r="N62" i="4"/>
  <c r="N56" i="4"/>
  <c r="N64" i="4"/>
  <c r="N63" i="4"/>
  <c r="N160" i="4"/>
  <c r="N115" i="4"/>
  <c r="N167" i="4"/>
  <c r="N133" i="4"/>
  <c r="N182" i="4"/>
  <c r="N76" i="4"/>
  <c r="N176" i="4"/>
  <c r="N5" i="4"/>
  <c r="T5" i="4" s="1"/>
  <c r="N6" i="4"/>
  <c r="N83" i="4"/>
  <c r="N87" i="4"/>
  <c r="N100" i="4"/>
  <c r="N34" i="4"/>
  <c r="N23" i="4"/>
  <c r="O131" i="4"/>
  <c r="O146" i="4"/>
  <c r="O170" i="4"/>
  <c r="O139" i="4"/>
  <c r="O158" i="4"/>
  <c r="O173" i="4"/>
  <c r="O94" i="4"/>
  <c r="O12" i="4"/>
  <c r="O75" i="4"/>
  <c r="O101" i="4"/>
  <c r="O108" i="4"/>
  <c r="O135" i="4"/>
  <c r="O89" i="4"/>
  <c r="O124" i="4"/>
  <c r="O60" i="4"/>
  <c r="K66" i="4"/>
  <c r="K129" i="4"/>
  <c r="K156" i="4"/>
  <c r="K48" i="4"/>
  <c r="K137" i="4"/>
  <c r="K151" i="4"/>
  <c r="K36" i="4"/>
  <c r="K31" i="4"/>
  <c r="K80" i="4"/>
  <c r="K39" i="4"/>
  <c r="K14" i="4"/>
  <c r="K53" i="4"/>
  <c r="K45" i="4"/>
  <c r="K122" i="4"/>
  <c r="K116" i="4"/>
  <c r="K51" i="4"/>
  <c r="K155" i="4"/>
  <c r="O129" i="4"/>
  <c r="O48" i="4"/>
  <c r="O36" i="4"/>
  <c r="O53" i="4"/>
  <c r="O116" i="4"/>
  <c r="O49" i="4"/>
  <c r="O106" i="4"/>
  <c r="O145" i="4"/>
  <c r="O26" i="4"/>
  <c r="O74" i="4"/>
  <c r="O161" i="4"/>
  <c r="O132" i="4"/>
  <c r="O123" i="4"/>
  <c r="O24" i="4"/>
  <c r="O43" i="4"/>
  <c r="M66" i="4"/>
  <c r="M129" i="4"/>
  <c r="M156" i="4"/>
  <c r="M48" i="4"/>
  <c r="M137" i="4"/>
  <c r="M151" i="4"/>
  <c r="M36" i="4"/>
  <c r="M31" i="4"/>
  <c r="M80" i="4"/>
  <c r="M39" i="4"/>
  <c r="S39" i="4" s="1"/>
  <c r="M14" i="4"/>
  <c r="M53" i="4"/>
  <c r="M45" i="4"/>
  <c r="M122" i="4"/>
  <c r="S122" i="4" s="1"/>
  <c r="M116" i="4"/>
  <c r="S116" i="4" s="1"/>
  <c r="M51" i="4"/>
  <c r="S51" i="4" s="1"/>
  <c r="M155" i="4"/>
  <c r="O61" i="4"/>
  <c r="O73" i="4"/>
  <c r="O52" i="4"/>
  <c r="O104" i="4"/>
  <c r="O30" i="4"/>
  <c r="O47" i="4"/>
  <c r="O102" i="4"/>
  <c r="O130" i="4"/>
  <c r="O13" i="4"/>
  <c r="O79" i="4"/>
  <c r="O142" i="4"/>
  <c r="O107" i="4"/>
  <c r="O175" i="4"/>
  <c r="O136" i="4"/>
  <c r="O22" i="4"/>
  <c r="O32" i="4"/>
  <c r="O152" i="4"/>
  <c r="O114" i="4"/>
  <c r="N66" i="4"/>
  <c r="N129" i="4"/>
  <c r="N156" i="4"/>
  <c r="N48" i="4"/>
  <c r="N137" i="4"/>
  <c r="N151" i="4"/>
  <c r="N36" i="4"/>
  <c r="N31" i="4"/>
  <c r="N80" i="4"/>
  <c r="T80" i="4" s="1"/>
  <c r="N39" i="4"/>
  <c r="T39" i="4" s="1"/>
  <c r="N14" i="4"/>
  <c r="N53" i="4"/>
  <c r="T53" i="4" s="1"/>
  <c r="N45" i="4"/>
  <c r="N122" i="4"/>
  <c r="N116" i="4"/>
  <c r="N51" i="4"/>
  <c r="O113" i="4"/>
  <c r="O115" i="4"/>
  <c r="O182" i="4"/>
  <c r="O6" i="4"/>
  <c r="O100" i="4"/>
  <c r="O25" i="4"/>
  <c r="O119" i="4"/>
  <c r="O35" i="4"/>
  <c r="O105" i="4"/>
  <c r="O15" i="4"/>
  <c r="O110" i="4"/>
  <c r="O46" i="4"/>
  <c r="O154" i="4"/>
  <c r="O54" i="4"/>
  <c r="K131" i="4"/>
  <c r="K92" i="4"/>
  <c r="K61" i="4"/>
  <c r="K146" i="4"/>
  <c r="K65" i="4"/>
  <c r="K50" i="4"/>
  <c r="K73" i="4"/>
  <c r="K52" i="4"/>
  <c r="K169" i="4"/>
  <c r="K104" i="4"/>
  <c r="K70" i="4"/>
  <c r="K85" i="4"/>
  <c r="K170" i="4"/>
  <c r="K30" i="4"/>
  <c r="K172" i="4"/>
  <c r="Q172" i="4" s="1"/>
  <c r="K139" i="4"/>
  <c r="K47" i="4"/>
  <c r="K78" i="4"/>
  <c r="O137" i="4"/>
  <c r="O39" i="4"/>
  <c r="O122" i="4"/>
  <c r="O51" i="4"/>
  <c r="O7" i="4"/>
  <c r="O33" i="4"/>
  <c r="O9" i="4"/>
  <c r="O153" i="4"/>
  <c r="O144" i="4"/>
  <c r="O41" i="4"/>
  <c r="O72" i="4"/>
  <c r="O19" i="4"/>
  <c r="O29" i="4"/>
  <c r="O96" i="4"/>
  <c r="O168" i="4"/>
  <c r="O57" i="4"/>
  <c r="O82" i="4"/>
  <c r="L131" i="4"/>
  <c r="L92" i="4"/>
  <c r="L61" i="4"/>
  <c r="L146" i="4"/>
  <c r="R146" i="4" s="1"/>
  <c r="L65" i="4"/>
  <c r="L50" i="4"/>
  <c r="L73" i="4"/>
  <c r="L52" i="4"/>
  <c r="L169" i="4"/>
  <c r="R169" i="4" s="1"/>
  <c r="L104" i="4"/>
  <c r="L70" i="4"/>
  <c r="L85" i="4"/>
  <c r="L170" i="4"/>
  <c r="L30" i="4"/>
  <c r="R30" i="4" s="1"/>
  <c r="L172" i="4"/>
  <c r="L139" i="4"/>
  <c r="L47" i="4"/>
  <c r="L78" i="4"/>
  <c r="L157" i="4"/>
  <c r="O65" i="4"/>
  <c r="O70" i="4"/>
  <c r="O78" i="4"/>
  <c r="O159" i="4"/>
  <c r="O117" i="4"/>
  <c r="O165" i="4"/>
  <c r="O143" i="4"/>
  <c r="O40" i="4"/>
  <c r="O109" i="4"/>
  <c r="O183" i="4"/>
  <c r="O42" i="4"/>
  <c r="O121" i="4"/>
  <c r="O149" i="4"/>
  <c r="O93" i="4"/>
  <c r="O69" i="4"/>
  <c r="O81" i="4"/>
  <c r="M131" i="4"/>
  <c r="S131" i="4" s="1"/>
  <c r="M92" i="4"/>
  <c r="M61" i="4"/>
  <c r="M146" i="4"/>
  <c r="S146" i="4" s="1"/>
  <c r="M65" i="4"/>
  <c r="M50" i="4"/>
  <c r="M73" i="4"/>
  <c r="M52" i="4"/>
  <c r="M169" i="4"/>
  <c r="M104" i="4"/>
  <c r="M70" i="4"/>
  <c r="M85" i="4"/>
  <c r="M170" i="4"/>
  <c r="S170" i="4" s="1"/>
  <c r="M30" i="4"/>
  <c r="M172" i="4"/>
  <c r="M139" i="4"/>
  <c r="M47" i="4"/>
  <c r="M78" i="4"/>
  <c r="M157" i="4"/>
  <c r="O5" i="4"/>
  <c r="O127" i="4"/>
  <c r="O174" i="4"/>
  <c r="L36" i="4"/>
  <c r="L53" i="4"/>
  <c r="R53" i="4" s="1"/>
  <c r="L45" i="4"/>
  <c r="R45" i="4" s="1"/>
  <c r="L116" i="4"/>
  <c r="K159" i="4"/>
  <c r="N127" i="4"/>
  <c r="N25" i="4"/>
  <c r="N77" i="4"/>
  <c r="N119" i="4"/>
  <c r="N177" i="4"/>
  <c r="N138" i="4"/>
  <c r="N174" i="4"/>
  <c r="T174" i="4" s="1"/>
  <c r="N178" i="4"/>
  <c r="N35" i="4"/>
  <c r="N71" i="4"/>
  <c r="T71" i="4" s="1"/>
  <c r="N105" i="4"/>
  <c r="N166" i="4"/>
  <c r="N59" i="4"/>
  <c r="N15" i="4"/>
  <c r="N16" i="4"/>
  <c r="T16" i="4" s="1"/>
  <c r="N18" i="4"/>
  <c r="O83" i="4"/>
  <c r="O77" i="4"/>
  <c r="O178" i="4"/>
  <c r="O16" i="4"/>
  <c r="N92" i="4"/>
  <c r="N104" i="4"/>
  <c r="N47" i="4"/>
  <c r="K102" i="4"/>
  <c r="L159" i="4"/>
  <c r="K33" i="4"/>
  <c r="K120" i="4"/>
  <c r="K9" i="4"/>
  <c r="K10" i="4"/>
  <c r="Q10" i="4" s="1"/>
  <c r="K134" i="4"/>
  <c r="K49" i="4"/>
  <c r="K148" i="4"/>
  <c r="Q148" i="4" s="1"/>
  <c r="K106" i="4"/>
  <c r="K153" i="4"/>
  <c r="K144" i="4"/>
  <c r="Q144" i="4" s="1"/>
  <c r="K99" i="4"/>
  <c r="K41" i="4"/>
  <c r="K145" i="4"/>
  <c r="K72" i="4"/>
  <c r="Q72" i="4" s="1"/>
  <c r="K103" i="4"/>
  <c r="K26" i="4"/>
  <c r="K17" i="4"/>
  <c r="K95" i="4"/>
  <c r="K74" i="4"/>
  <c r="K184" i="4"/>
  <c r="K161" i="4"/>
  <c r="K19" i="4"/>
  <c r="K68" i="4"/>
  <c r="L156" i="4"/>
  <c r="L14" i="4"/>
  <c r="L51" i="4"/>
  <c r="K158" i="4"/>
  <c r="L102" i="4"/>
  <c r="M159" i="4"/>
  <c r="K55" i="4"/>
  <c r="L33" i="4"/>
  <c r="L120" i="4"/>
  <c r="L9" i="4"/>
  <c r="L10" i="4"/>
  <c r="L134" i="4"/>
  <c r="L49" i="4"/>
  <c r="L148" i="4"/>
  <c r="L106" i="4"/>
  <c r="L153" i="4"/>
  <c r="L144" i="4"/>
  <c r="L99" i="4"/>
  <c r="L41" i="4"/>
  <c r="L145" i="4"/>
  <c r="L72" i="4"/>
  <c r="L103" i="4"/>
  <c r="L26" i="4"/>
  <c r="L17" i="4"/>
  <c r="L95" i="4"/>
  <c r="L74" i="4"/>
  <c r="L184" i="4"/>
  <c r="L161" i="4"/>
  <c r="L19" i="4"/>
  <c r="L68" i="4"/>
  <c r="O34" i="4"/>
  <c r="N65" i="4"/>
  <c r="N70" i="4"/>
  <c r="N78" i="4"/>
  <c r="L158" i="4"/>
  <c r="M102" i="4"/>
  <c r="N159" i="4"/>
  <c r="L55" i="4"/>
  <c r="M33" i="4"/>
  <c r="M120" i="4"/>
  <c r="M9" i="4"/>
  <c r="M10" i="4"/>
  <c r="M134" i="4"/>
  <c r="M49" i="4"/>
  <c r="M148" i="4"/>
  <c r="M106" i="4"/>
  <c r="M153" i="4"/>
  <c r="M144" i="4"/>
  <c r="M99" i="4"/>
  <c r="M41" i="4"/>
  <c r="M145" i="4"/>
  <c r="M72" i="4"/>
  <c r="M103" i="4"/>
  <c r="M26" i="4"/>
  <c r="M17" i="4"/>
  <c r="M95" i="4"/>
  <c r="M74" i="4"/>
  <c r="M184" i="4"/>
  <c r="M161" i="4"/>
  <c r="M19" i="4"/>
  <c r="M68" i="4"/>
  <c r="O71" i="4"/>
  <c r="L48" i="4"/>
  <c r="R48" i="4" s="1"/>
  <c r="L31" i="4"/>
  <c r="L155" i="4"/>
  <c r="M158" i="4"/>
  <c r="N102" i="4"/>
  <c r="M55" i="4"/>
  <c r="N33" i="4"/>
  <c r="N120" i="4"/>
  <c r="N9" i="4"/>
  <c r="N10" i="4"/>
  <c r="N134" i="4"/>
  <c r="N49" i="4"/>
  <c r="T49" i="4" s="1"/>
  <c r="N148" i="4"/>
  <c r="N106" i="4"/>
  <c r="N153" i="4"/>
  <c r="N144" i="4"/>
  <c r="N99" i="4"/>
  <c r="N41" i="4"/>
  <c r="N145" i="4"/>
  <c r="N72" i="4"/>
  <c r="N103" i="4"/>
  <c r="N26" i="4"/>
  <c r="N17" i="4"/>
  <c r="N95" i="4"/>
  <c r="N74" i="4"/>
  <c r="N184" i="4"/>
  <c r="T184" i="4" s="1"/>
  <c r="N161" i="4"/>
  <c r="N19" i="4"/>
  <c r="N68" i="4"/>
  <c r="O62" i="4"/>
  <c r="N61" i="4"/>
  <c r="N50" i="4"/>
  <c r="N52" i="4"/>
  <c r="T52" i="4" s="1"/>
  <c r="N85" i="4"/>
  <c r="N155" i="4"/>
  <c r="N158" i="4"/>
  <c r="N55" i="4"/>
  <c r="K94" i="4"/>
  <c r="K130" i="4"/>
  <c r="Q130" i="4" s="1"/>
  <c r="K165" i="4"/>
  <c r="K11" i="4"/>
  <c r="K12" i="4"/>
  <c r="K13" i="4"/>
  <c r="Q13" i="4" s="1"/>
  <c r="K75" i="4"/>
  <c r="K79" i="4"/>
  <c r="K143" i="4"/>
  <c r="K101" i="4"/>
  <c r="K40" i="4"/>
  <c r="K142" i="4"/>
  <c r="Q142" i="4" s="1"/>
  <c r="K107" i="4"/>
  <c r="Q107" i="4" s="1"/>
  <c r="K179" i="4"/>
  <c r="K108" i="4"/>
  <c r="K109" i="4"/>
  <c r="K180" i="4"/>
  <c r="K175" i="4"/>
  <c r="K183" i="4"/>
  <c r="K135" i="4"/>
  <c r="K136" i="4"/>
  <c r="O64" i="4"/>
  <c r="L66" i="4"/>
  <c r="L137" i="4"/>
  <c r="L80" i="4"/>
  <c r="L122" i="4"/>
  <c r="K157" i="4"/>
  <c r="Q157" i="4" s="1"/>
  <c r="L181" i="4"/>
  <c r="K173" i="4"/>
  <c r="L94" i="4"/>
  <c r="L130" i="4"/>
  <c r="L165" i="4"/>
  <c r="L11" i="4"/>
  <c r="L12" i="4"/>
  <c r="L13" i="4"/>
  <c r="L75" i="4"/>
  <c r="L79" i="4"/>
  <c r="L143" i="4"/>
  <c r="L101" i="4"/>
  <c r="L40" i="4"/>
  <c r="L142" i="4"/>
  <c r="L107" i="4"/>
  <c r="L179" i="4"/>
  <c r="L108" i="4"/>
  <c r="O166" i="4"/>
  <c r="O84" i="4"/>
  <c r="N131" i="4"/>
  <c r="N170" i="4"/>
  <c r="T170" i="4" s="1"/>
  <c r="N157" i="4"/>
  <c r="M181" i="4"/>
  <c r="K8" i="4"/>
  <c r="Q8" i="4" s="1"/>
  <c r="K125" i="4"/>
  <c r="Q125" i="4" s="1"/>
  <c r="L173" i="4"/>
  <c r="M94" i="4"/>
  <c r="M130" i="4"/>
  <c r="M165" i="4"/>
  <c r="M11" i="4"/>
  <c r="M12" i="4"/>
  <c r="M13" i="4"/>
  <c r="M75" i="4"/>
  <c r="M79" i="4"/>
  <c r="M143" i="4"/>
  <c r="M101" i="4"/>
  <c r="M40" i="4"/>
  <c r="S40" i="4" s="1"/>
  <c r="M142" i="4"/>
  <c r="M107" i="4"/>
  <c r="M179" i="4"/>
  <c r="M108" i="4"/>
  <c r="M109" i="4"/>
  <c r="M180" i="4"/>
  <c r="M175" i="4"/>
  <c r="M183" i="4"/>
  <c r="M135" i="4"/>
  <c r="M136" i="4"/>
  <c r="M42" i="4"/>
  <c r="M20" i="4"/>
  <c r="O160" i="4"/>
  <c r="O181" i="4"/>
  <c r="O126" i="4"/>
  <c r="O90" i="4"/>
  <c r="L129" i="4"/>
  <c r="N181" i="4"/>
  <c r="K7" i="4"/>
  <c r="L8" i="4"/>
  <c r="K117" i="4"/>
  <c r="L125" i="4"/>
  <c r="M173" i="4"/>
  <c r="N94" i="4"/>
  <c r="N130" i="4"/>
  <c r="N165" i="4"/>
  <c r="T165" i="4" s="1"/>
  <c r="N11" i="4"/>
  <c r="N12" i="4"/>
  <c r="N13" i="4"/>
  <c r="N75" i="4"/>
  <c r="N79" i="4"/>
  <c r="N143" i="4"/>
  <c r="N101" i="4"/>
  <c r="N40" i="4"/>
  <c r="N142" i="4"/>
  <c r="N107" i="4"/>
  <c r="N179" i="4"/>
  <c r="N108" i="4"/>
  <c r="N109" i="4"/>
  <c r="N180" i="4"/>
  <c r="N175" i="4"/>
  <c r="N183" i="4"/>
  <c r="N135" i="4"/>
  <c r="N136" i="4"/>
  <c r="N42" i="4"/>
  <c r="N20" i="4"/>
  <c r="O167" i="4"/>
  <c r="O177" i="4"/>
  <c r="O91" i="4"/>
  <c r="O38" i="4"/>
  <c r="N73" i="4"/>
  <c r="N169" i="4"/>
  <c r="N30" i="4"/>
  <c r="N172" i="4"/>
  <c r="L7" i="4"/>
  <c r="R7" i="4" s="1"/>
  <c r="M8" i="4"/>
  <c r="L117" i="4"/>
  <c r="R117" i="4" s="1"/>
  <c r="M125" i="4"/>
  <c r="N173" i="4"/>
  <c r="T173" i="4" s="1"/>
  <c r="K25" i="4"/>
  <c r="K77" i="4"/>
  <c r="Q77" i="4" s="1"/>
  <c r="K119" i="4"/>
  <c r="K177" i="4"/>
  <c r="K138" i="4"/>
  <c r="K174" i="4"/>
  <c r="K178" i="4"/>
  <c r="K35" i="4"/>
  <c r="K71" i="4"/>
  <c r="Q71" i="4" s="1"/>
  <c r="K105" i="4"/>
  <c r="K166" i="4"/>
  <c r="K59" i="4"/>
  <c r="Q59" i="4" s="1"/>
  <c r="K15" i="4"/>
  <c r="K16" i="4"/>
  <c r="K18" i="4"/>
  <c r="Q18" i="4" s="1"/>
  <c r="O133" i="4"/>
  <c r="O138" i="4"/>
  <c r="O21" i="4"/>
  <c r="O44" i="4"/>
  <c r="O28" i="4"/>
  <c r="L151" i="4"/>
  <c r="L39" i="4"/>
  <c r="M7" i="4"/>
  <c r="N8" i="4"/>
  <c r="M117" i="4"/>
  <c r="S117" i="4" s="1"/>
  <c r="N125" i="4"/>
  <c r="L127" i="4"/>
  <c r="L25" i="4"/>
  <c r="L77" i="4"/>
  <c r="L119" i="4"/>
  <c r="L177" i="4"/>
  <c r="L138" i="4"/>
  <c r="L174" i="4"/>
  <c r="L178" i="4"/>
  <c r="L35" i="4"/>
  <c r="L71" i="4"/>
  <c r="L105" i="4"/>
  <c r="L166" i="4"/>
  <c r="L59" i="4"/>
  <c r="L15" i="4"/>
  <c r="L16" i="4"/>
  <c r="L18" i="4"/>
  <c r="K22" i="4"/>
  <c r="K121" i="4"/>
  <c r="K149" i="4"/>
  <c r="K89" i="4"/>
  <c r="K93" i="4"/>
  <c r="K88" i="4"/>
  <c r="Q88" i="4" s="1"/>
  <c r="K124" i="4"/>
  <c r="K32" i="4"/>
  <c r="Q32" i="4" s="1"/>
  <c r="K69" i="4"/>
  <c r="K140" i="4"/>
  <c r="Q140" i="4" s="1"/>
  <c r="K81" i="4"/>
  <c r="K152" i="4"/>
  <c r="K60" i="4"/>
  <c r="K114" i="4"/>
  <c r="M138" i="4"/>
  <c r="M71" i="4"/>
  <c r="L175" i="4"/>
  <c r="L136" i="4"/>
  <c r="L22" i="4"/>
  <c r="L121" i="4"/>
  <c r="L149" i="4"/>
  <c r="L89" i="4"/>
  <c r="L93" i="4"/>
  <c r="L88" i="4"/>
  <c r="L124" i="4"/>
  <c r="L32" i="4"/>
  <c r="L69" i="4"/>
  <c r="L140" i="4"/>
  <c r="L81" i="4"/>
  <c r="L152" i="4"/>
  <c r="L60" i="4"/>
  <c r="L114" i="4"/>
  <c r="O76" i="4"/>
  <c r="M119" i="4"/>
  <c r="M105" i="4"/>
  <c r="M22" i="4"/>
  <c r="M121" i="4"/>
  <c r="M149" i="4"/>
  <c r="M89" i="4"/>
  <c r="M93" i="4"/>
  <c r="M88" i="4"/>
  <c r="M124" i="4"/>
  <c r="M32" i="4"/>
  <c r="M69" i="4"/>
  <c r="M140" i="4"/>
  <c r="M81" i="4"/>
  <c r="M152" i="4"/>
  <c r="M60" i="4"/>
  <c r="M114" i="4"/>
  <c r="N117" i="4"/>
  <c r="N22" i="4"/>
  <c r="N146" i="4"/>
  <c r="T146" i="4" s="1"/>
  <c r="M16" i="4"/>
  <c r="K42" i="4"/>
  <c r="K91" i="4"/>
  <c r="Q91" i="4" s="1"/>
  <c r="K147" i="4"/>
  <c r="K21" i="4"/>
  <c r="K110" i="4"/>
  <c r="K164" i="4"/>
  <c r="Q164" i="4" s="1"/>
  <c r="K84" i="4"/>
  <c r="K128" i="4"/>
  <c r="K126" i="4"/>
  <c r="K46" i="4"/>
  <c r="K38" i="4"/>
  <c r="K37" i="4"/>
  <c r="K44" i="4"/>
  <c r="Q44" i="4" s="1"/>
  <c r="K98" i="4"/>
  <c r="K154" i="4"/>
  <c r="K90" i="4"/>
  <c r="Q90" i="4" s="1"/>
  <c r="K112" i="4"/>
  <c r="K28" i="4"/>
  <c r="K54" i="4"/>
  <c r="M127" i="4"/>
  <c r="M174" i="4"/>
  <c r="L42" i="4"/>
  <c r="L91" i="4"/>
  <c r="L147" i="4"/>
  <c r="L21" i="4"/>
  <c r="L110" i="4"/>
  <c r="M25" i="4"/>
  <c r="M15" i="4"/>
  <c r="M18" i="4"/>
  <c r="M91" i="4"/>
  <c r="M147" i="4"/>
  <c r="M21" i="4"/>
  <c r="M110" i="4"/>
  <c r="M164" i="4"/>
  <c r="M84" i="4"/>
  <c r="M128" i="4"/>
  <c r="M126" i="4"/>
  <c r="M46" i="4"/>
  <c r="M38" i="4"/>
  <c r="M37" i="4"/>
  <c r="M44" i="4"/>
  <c r="M98" i="4"/>
  <c r="M154" i="4"/>
  <c r="M90" i="4"/>
  <c r="M112" i="4"/>
  <c r="M28" i="4"/>
  <c r="S28" i="4" s="1"/>
  <c r="M54" i="4"/>
  <c r="M77" i="4"/>
  <c r="M178" i="4"/>
  <c r="M166" i="4"/>
  <c r="L109" i="4"/>
  <c r="N91" i="4"/>
  <c r="N147" i="4"/>
  <c r="N21" i="4"/>
  <c r="N110" i="4"/>
  <c r="N164" i="4"/>
  <c r="N84" i="4"/>
  <c r="N128" i="4"/>
  <c r="N126" i="4"/>
  <c r="N46" i="4"/>
  <c r="N38" i="4"/>
  <c r="N37" i="4"/>
  <c r="N44" i="4"/>
  <c r="N98" i="4"/>
  <c r="T98" i="4" s="1"/>
  <c r="N154" i="4"/>
  <c r="N90" i="4"/>
  <c r="N112" i="4"/>
  <c r="N28" i="4"/>
  <c r="N54" i="4"/>
  <c r="N139" i="4"/>
  <c r="M59" i="4"/>
  <c r="K20" i="4"/>
  <c r="Q20" i="4" s="1"/>
  <c r="K58" i="4"/>
  <c r="K111" i="4"/>
  <c r="K29" i="4"/>
  <c r="Q29" i="4" s="1"/>
  <c r="K162" i="4"/>
  <c r="K132" i="4"/>
  <c r="K96" i="4"/>
  <c r="K163" i="4"/>
  <c r="K123" i="4"/>
  <c r="K168" i="4"/>
  <c r="K86" i="4"/>
  <c r="K171" i="4"/>
  <c r="K24" i="4"/>
  <c r="K57" i="4"/>
  <c r="K97" i="4"/>
  <c r="K141" i="4"/>
  <c r="Q141" i="4" s="1"/>
  <c r="K82" i="4"/>
  <c r="K67" i="4"/>
  <c r="K27" i="4"/>
  <c r="K43" i="4"/>
  <c r="N150" i="4"/>
  <c r="T150" i="4" s="1"/>
  <c r="L180" i="4"/>
  <c r="L20" i="4"/>
  <c r="L58" i="4"/>
  <c r="L111" i="4"/>
  <c r="L29" i="4"/>
  <c r="L162" i="4"/>
  <c r="R162" i="4" s="1"/>
  <c r="L132" i="4"/>
  <c r="L96" i="4"/>
  <c r="L163" i="4"/>
  <c r="L123" i="4"/>
  <c r="L168" i="4"/>
  <c r="L86" i="4"/>
  <c r="L171" i="4"/>
  <c r="L24" i="4"/>
  <c r="L57" i="4"/>
  <c r="L97" i="4"/>
  <c r="L141" i="4"/>
  <c r="L82" i="4"/>
  <c r="L67" i="4"/>
  <c r="L27" i="4"/>
  <c r="L43" i="4"/>
  <c r="M150" i="4"/>
  <c r="M35" i="4"/>
  <c r="M58" i="4"/>
  <c r="M111" i="4"/>
  <c r="M29" i="4"/>
  <c r="M162" i="4"/>
  <c r="M132" i="4"/>
  <c r="M96" i="4"/>
  <c r="M163" i="4"/>
  <c r="M123" i="4"/>
  <c r="M168" i="4"/>
  <c r="M86" i="4"/>
  <c r="M171" i="4"/>
  <c r="M24" i="4"/>
  <c r="M57" i="4"/>
  <c r="M97" i="4"/>
  <c r="M141" i="4"/>
  <c r="M82" i="4"/>
  <c r="M67" i="4"/>
  <c r="M27" i="4"/>
  <c r="M43" i="4"/>
  <c r="L150" i="4"/>
  <c r="N121" i="4"/>
  <c r="N149" i="4"/>
  <c r="N93" i="4"/>
  <c r="N69" i="4"/>
  <c r="N81" i="4"/>
  <c r="L84" i="4"/>
  <c r="L38" i="4"/>
  <c r="N111" i="4"/>
  <c r="N162" i="4"/>
  <c r="N163" i="4"/>
  <c r="N86" i="4"/>
  <c r="N97" i="4"/>
  <c r="N67" i="4"/>
  <c r="L183" i="4"/>
  <c r="N88" i="4"/>
  <c r="N140" i="4"/>
  <c r="L135" i="4"/>
  <c r="L164" i="4"/>
  <c r="L128" i="4"/>
  <c r="R128" i="4" s="1"/>
  <c r="L37" i="4"/>
  <c r="L98" i="4"/>
  <c r="L112" i="4"/>
  <c r="N171" i="4"/>
  <c r="N141" i="4"/>
  <c r="N27" i="4"/>
  <c r="N89" i="4"/>
  <c r="N124" i="4"/>
  <c r="N60" i="4"/>
  <c r="L126" i="4"/>
  <c r="L44" i="4"/>
  <c r="L90" i="4"/>
  <c r="L28" i="4"/>
  <c r="N58" i="4"/>
  <c r="N132" i="4"/>
  <c r="N123" i="4"/>
  <c r="N24" i="4"/>
  <c r="N43" i="4"/>
  <c r="T43" i="4" s="1"/>
  <c r="N7" i="4"/>
  <c r="T7" i="4" s="1"/>
  <c r="N32" i="4"/>
  <c r="N152" i="4"/>
  <c r="N114" i="4"/>
  <c r="L46" i="4"/>
  <c r="L154" i="4"/>
  <c r="L54" i="4"/>
  <c r="M177" i="4"/>
  <c r="N29" i="4"/>
  <c r="N96" i="4"/>
  <c r="N168" i="4"/>
  <c r="N57" i="4"/>
  <c r="N82" i="4"/>
  <c r="K150" i="4"/>
  <c r="S78" i="4" l="1"/>
  <c r="R86" i="4"/>
  <c r="T28" i="4"/>
  <c r="Q128" i="4"/>
  <c r="Q22" i="4"/>
  <c r="S180" i="4"/>
  <c r="T155" i="4"/>
  <c r="S99" i="4"/>
  <c r="T127" i="4"/>
  <c r="R172" i="4"/>
  <c r="Q127" i="4"/>
  <c r="Q38" i="4"/>
  <c r="S112" i="4"/>
  <c r="T117" i="4"/>
  <c r="T60" i="4"/>
  <c r="Q174" i="4"/>
  <c r="T85" i="4"/>
  <c r="Q68" i="4"/>
  <c r="Q99" i="4"/>
  <c r="Q131" i="4"/>
  <c r="Q181" i="4"/>
  <c r="Q57" i="4"/>
  <c r="T135" i="4"/>
  <c r="T25" i="4"/>
  <c r="T140" i="4"/>
  <c r="T69" i="4"/>
  <c r="Q136" i="4"/>
  <c r="S150" i="4"/>
  <c r="T21" i="4"/>
  <c r="S105" i="4"/>
  <c r="S165" i="4"/>
  <c r="Q79" i="4"/>
  <c r="R158" i="4"/>
  <c r="Q19" i="4"/>
  <c r="R170" i="4"/>
  <c r="Q85" i="4"/>
  <c r="U188" i="4"/>
  <c r="S5" i="4"/>
  <c r="S109" i="4"/>
  <c r="T166" i="4"/>
  <c r="R78" i="4"/>
  <c r="S62" i="4"/>
  <c r="R178" i="4"/>
  <c r="T180" i="4"/>
  <c r="T76" i="4"/>
  <c r="S69" i="4"/>
  <c r="T65" i="4"/>
  <c r="R82" i="4"/>
  <c r="T160" i="4"/>
  <c r="S178" i="4"/>
  <c r="S9" i="4"/>
  <c r="S52" i="4"/>
  <c r="T41" i="4"/>
  <c r="S55" i="4"/>
  <c r="Q39" i="4"/>
  <c r="Q64" i="4"/>
  <c r="R152" i="4"/>
  <c r="S132" i="4"/>
  <c r="R28" i="4"/>
  <c r="R79" i="4"/>
  <c r="R184" i="4"/>
  <c r="S50" i="4"/>
  <c r="R84" i="4"/>
  <c r="T15" i="4"/>
  <c r="R18" i="4"/>
  <c r="R139" i="4"/>
  <c r="R115" i="4"/>
  <c r="T168" i="4"/>
  <c r="T44" i="4"/>
  <c r="S34" i="4"/>
  <c r="Q55" i="4"/>
  <c r="Q83" i="4"/>
  <c r="R141" i="4"/>
  <c r="Q108" i="4"/>
  <c r="S79" i="4"/>
  <c r="Q9" i="4"/>
  <c r="S157" i="4"/>
  <c r="R51" i="4"/>
  <c r="T29" i="4"/>
  <c r="Q51" i="4"/>
  <c r="T62" i="4"/>
  <c r="R126" i="4"/>
  <c r="Q60" i="4"/>
  <c r="R49" i="4"/>
  <c r="T175" i="4"/>
  <c r="T36" i="4"/>
  <c r="T61" i="4"/>
  <c r="T47" i="4"/>
  <c r="S77" i="4"/>
  <c r="T19" i="4"/>
  <c r="Q84" i="4"/>
  <c r="Q120" i="4"/>
  <c r="R113" i="4"/>
  <c r="Q101" i="4"/>
  <c r="Q158" i="4"/>
  <c r="Q147" i="4"/>
  <c r="R50" i="4"/>
  <c r="T92" i="4"/>
  <c r="R147" i="4"/>
  <c r="S181" i="4"/>
  <c r="S70" i="4"/>
  <c r="T116" i="4"/>
  <c r="S98" i="4"/>
  <c r="Q89" i="4"/>
  <c r="R55" i="4"/>
  <c r="S151" i="4"/>
  <c r="T176" i="4"/>
  <c r="T164" i="4"/>
  <c r="R175" i="4"/>
  <c r="T13" i="4"/>
  <c r="R176" i="4"/>
  <c r="S6" i="4"/>
  <c r="Q27" i="4"/>
  <c r="T72" i="4"/>
  <c r="R182" i="4"/>
  <c r="T93" i="4"/>
  <c r="Q66" i="4"/>
  <c r="R133" i="4"/>
  <c r="S121" i="4"/>
  <c r="T32" i="4"/>
  <c r="R36" i="4"/>
  <c r="S159" i="4"/>
  <c r="T100" i="4"/>
  <c r="R165" i="4"/>
  <c r="T73" i="4"/>
  <c r="S139" i="4"/>
  <c r="Q92" i="4"/>
  <c r="S37" i="4"/>
  <c r="S107" i="4"/>
  <c r="Q175" i="4"/>
  <c r="S182" i="4"/>
  <c r="R173" i="4"/>
  <c r="S137" i="4"/>
  <c r="S126" i="4"/>
  <c r="S156" i="4"/>
  <c r="R112" i="4"/>
  <c r="Q58" i="4"/>
  <c r="R71" i="4"/>
  <c r="R98" i="4"/>
  <c r="S136" i="4"/>
  <c r="R33" i="4"/>
  <c r="Q94" i="4"/>
  <c r="S66" i="4"/>
  <c r="S164" i="4"/>
  <c r="Q149" i="4"/>
  <c r="S8" i="4"/>
  <c r="Q50" i="4"/>
  <c r="S83" i="4"/>
  <c r="S58" i="4"/>
  <c r="S47" i="4"/>
  <c r="T154" i="4"/>
  <c r="R95" i="4"/>
  <c r="T121" i="4"/>
  <c r="T130" i="4"/>
  <c r="S167" i="4"/>
  <c r="R136" i="4"/>
  <c r="R104" i="4"/>
  <c r="T167" i="4"/>
  <c r="R66" i="4"/>
  <c r="R12" i="4"/>
  <c r="T145" i="4"/>
  <c r="R131" i="4"/>
  <c r="S42" i="4"/>
  <c r="R151" i="4"/>
  <c r="S20" i="4"/>
  <c r="Q42" i="4"/>
  <c r="R23" i="4"/>
  <c r="T10" i="4"/>
  <c r="S31" i="4"/>
  <c r="Q138" i="4"/>
  <c r="T147" i="4"/>
  <c r="S81" i="4"/>
  <c r="R15" i="4"/>
  <c r="T109" i="4"/>
  <c r="T118" i="4"/>
  <c r="S38" i="4"/>
  <c r="R10" i="4"/>
  <c r="Q45" i="4"/>
  <c r="S133" i="4"/>
  <c r="T123" i="4"/>
  <c r="Q111" i="4"/>
  <c r="R85" i="4"/>
  <c r="Q167" i="4"/>
  <c r="R101" i="4"/>
  <c r="R120" i="4"/>
  <c r="T141" i="4"/>
  <c r="T40" i="4"/>
  <c r="R143" i="4"/>
  <c r="S134" i="4"/>
  <c r="S158" i="4"/>
  <c r="Q95" i="4"/>
  <c r="Q80" i="4"/>
  <c r="S172" i="4"/>
  <c r="R38" i="4"/>
  <c r="R24" i="4"/>
  <c r="T22" i="4"/>
  <c r="T106" i="4"/>
  <c r="S103" i="4"/>
  <c r="R99" i="4"/>
  <c r="S53" i="4"/>
  <c r="R64" i="4"/>
  <c r="T84" i="4"/>
  <c r="R32" i="4"/>
  <c r="Q114" i="4"/>
  <c r="R157" i="4"/>
  <c r="S56" i="4"/>
  <c r="R177" i="4"/>
  <c r="R65" i="4"/>
  <c r="T183" i="4"/>
  <c r="S86" i="4"/>
  <c r="Q112" i="4"/>
  <c r="T59" i="4"/>
  <c r="S73" i="4"/>
  <c r="T108" i="4"/>
  <c r="S102" i="4"/>
  <c r="R142" i="4"/>
  <c r="Q161" i="4"/>
  <c r="S95" i="4"/>
  <c r="S143" i="4"/>
  <c r="S17" i="4"/>
  <c r="T161" i="4"/>
  <c r="S91" i="4"/>
  <c r="R68" i="4"/>
  <c r="R164" i="4"/>
  <c r="S162" i="4"/>
  <c r="S104" i="4"/>
  <c r="R63" i="4"/>
  <c r="R91" i="4"/>
  <c r="R129" i="4"/>
  <c r="L188" i="4"/>
  <c r="S80" i="4"/>
  <c r="S68" i="4"/>
  <c r="R14" i="4"/>
  <c r="Q156" i="4"/>
  <c r="S76" i="4"/>
  <c r="T67" i="4"/>
  <c r="T120" i="4"/>
  <c r="K188" i="4"/>
  <c r="S123" i="4"/>
  <c r="Q154" i="4"/>
  <c r="Q16" i="4"/>
  <c r="Q173" i="4"/>
  <c r="F188" i="4"/>
  <c r="O188" i="4"/>
  <c r="Q98" i="4"/>
  <c r="T104" i="4"/>
  <c r="I188" i="4"/>
  <c r="T8" i="4"/>
  <c r="T70" i="4"/>
  <c r="S115" i="4"/>
  <c r="S16" i="4"/>
  <c r="S125" i="4"/>
  <c r="T156" i="4"/>
  <c r="S129" i="4"/>
  <c r="M188" i="4"/>
  <c r="G188" i="4"/>
  <c r="R69" i="4"/>
  <c r="T143" i="4"/>
  <c r="S87" i="4"/>
  <c r="E188" i="4"/>
  <c r="T129" i="4"/>
  <c r="N188" i="4"/>
  <c r="Q7" i="4"/>
  <c r="T148" i="4"/>
  <c r="R102" i="4"/>
  <c r="H188" i="4"/>
  <c r="R124" i="4"/>
  <c r="S145" i="4"/>
  <c r="T112" i="4"/>
  <c r="Q152" i="4"/>
  <c r="T103" i="4"/>
  <c r="R76" i="4"/>
  <c r="Q82" i="4"/>
  <c r="S140" i="4"/>
  <c r="R94" i="4"/>
  <c r="R150" i="4"/>
  <c r="R26" i="4"/>
  <c r="S46" i="4"/>
  <c r="R40" i="4"/>
  <c r="S48" i="4"/>
  <c r="R57" i="4"/>
  <c r="R39" i="4"/>
  <c r="S100" i="4"/>
  <c r="S63" i="4"/>
  <c r="T55" i="4"/>
  <c r="T79" i="4"/>
  <c r="T74" i="4"/>
  <c r="R73" i="4"/>
  <c r="T63" i="4"/>
  <c r="R83" i="4"/>
  <c r="S128" i="4"/>
  <c r="Q170" i="4"/>
  <c r="R174" i="4"/>
  <c r="R58" i="4"/>
  <c r="R145" i="4"/>
  <c r="T99" i="4"/>
  <c r="T64" i="4"/>
  <c r="T124" i="4"/>
  <c r="T181" i="4"/>
  <c r="T171" i="4"/>
  <c r="T90" i="4"/>
  <c r="T82" i="4"/>
  <c r="T34" i="4"/>
  <c r="T136" i="4"/>
  <c r="T113" i="4"/>
  <c r="T149" i="4"/>
  <c r="S18" i="4"/>
  <c r="S88" i="4"/>
  <c r="S49" i="4"/>
  <c r="S92" i="4"/>
  <c r="S176" i="4"/>
  <c r="S96" i="4"/>
  <c r="S45" i="4"/>
  <c r="Q109" i="4"/>
  <c r="S35" i="4"/>
  <c r="T138" i="4"/>
  <c r="T97" i="4"/>
  <c r="T14" i="4"/>
  <c r="T142" i="4"/>
  <c r="T88" i="4"/>
  <c r="T31" i="4"/>
  <c r="R80" i="4"/>
  <c r="R148" i="4"/>
  <c r="R47" i="4"/>
  <c r="R156" i="4"/>
  <c r="R166" i="4"/>
  <c r="R87" i="4"/>
  <c r="R13" i="4"/>
  <c r="R181" i="4"/>
  <c r="S124" i="4"/>
  <c r="T66" i="4"/>
  <c r="S171" i="4"/>
  <c r="Q43" i="4"/>
  <c r="Q25" i="4"/>
  <c r="Q26" i="4"/>
  <c r="T86" i="4"/>
  <c r="Q53" i="4"/>
  <c r="R110" i="4"/>
  <c r="S114" i="4"/>
  <c r="R72" i="4"/>
  <c r="S67" i="4"/>
  <c r="Q132" i="4"/>
  <c r="Q73" i="4"/>
  <c r="R54" i="4"/>
  <c r="R168" i="4"/>
  <c r="Q129" i="4"/>
  <c r="S54" i="4"/>
  <c r="Q67" i="4"/>
  <c r="Q179" i="4"/>
  <c r="Q124" i="4"/>
  <c r="T102" i="4"/>
  <c r="R123" i="4"/>
  <c r="T125" i="4"/>
  <c r="T115" i="4"/>
  <c r="Q87" i="4"/>
  <c r="R34" i="4"/>
  <c r="T89" i="4"/>
  <c r="R97" i="4"/>
  <c r="R122" i="4"/>
  <c r="Q153" i="4"/>
  <c r="R5" i="4"/>
  <c r="T96" i="4"/>
  <c r="R135" i="4"/>
  <c r="T162" i="4"/>
  <c r="R96" i="4"/>
  <c r="R121" i="4"/>
  <c r="R138" i="4"/>
  <c r="T33" i="4"/>
  <c r="Q137" i="4"/>
  <c r="T83" i="4"/>
  <c r="S118" i="4"/>
  <c r="R132" i="4"/>
  <c r="S84" i="4"/>
  <c r="T131" i="4"/>
  <c r="R107" i="4"/>
  <c r="Q135" i="4"/>
  <c r="T50" i="4"/>
  <c r="T6" i="4"/>
  <c r="Q23" i="4"/>
  <c r="Q176" i="4"/>
  <c r="Q96" i="4"/>
  <c r="Q165" i="4"/>
  <c r="R70" i="4"/>
  <c r="S160" i="4"/>
  <c r="Q182" i="4"/>
  <c r="R44" i="4"/>
  <c r="T37" i="4"/>
  <c r="T144" i="4"/>
  <c r="T105" i="4"/>
  <c r="T132" i="4"/>
  <c r="S43" i="4"/>
  <c r="R77" i="4"/>
  <c r="T134" i="4"/>
  <c r="S74" i="4"/>
  <c r="T126" i="4"/>
  <c r="S21" i="4"/>
  <c r="T20" i="4"/>
  <c r="Q155" i="4"/>
  <c r="R93" i="4"/>
  <c r="T42" i="4"/>
  <c r="S11" i="4"/>
  <c r="T158" i="4"/>
  <c r="R52" i="4"/>
  <c r="S144" i="4"/>
  <c r="Q36" i="4"/>
  <c r="T45" i="4"/>
  <c r="Q12" i="4"/>
  <c r="S72" i="4"/>
  <c r="S173" i="4"/>
  <c r="S175" i="4"/>
  <c r="R153" i="4"/>
  <c r="Q151" i="4"/>
  <c r="R6" i="4"/>
  <c r="S93" i="4"/>
  <c r="T137" i="4"/>
  <c r="Q139" i="4"/>
  <c r="S90" i="4"/>
  <c r="R183" i="4"/>
  <c r="R114" i="4"/>
  <c r="Q48" i="4"/>
  <c r="Q56" i="4"/>
  <c r="T111" i="4"/>
  <c r="S29" i="4"/>
  <c r="R17" i="4"/>
  <c r="Q150" i="4"/>
  <c r="T110" i="4"/>
  <c r="S154" i="4"/>
  <c r="Q110" i="4"/>
  <c r="R60" i="4"/>
  <c r="R89" i="4"/>
  <c r="Q81" i="4"/>
  <c r="Q121" i="4"/>
  <c r="T75" i="4"/>
  <c r="S130" i="4"/>
  <c r="R31" i="4"/>
  <c r="S161" i="4"/>
  <c r="S106" i="4"/>
  <c r="S155" i="4"/>
  <c r="Q14" i="4"/>
  <c r="T24" i="4"/>
  <c r="R161" i="4"/>
  <c r="R106" i="4"/>
  <c r="Q30" i="4"/>
  <c r="S82" i="4"/>
  <c r="R59" i="4"/>
  <c r="S183" i="4"/>
  <c r="T26" i="4"/>
  <c r="Q184" i="4"/>
  <c r="R167" i="4"/>
  <c r="R37" i="4"/>
  <c r="Q162" i="4"/>
  <c r="R100" i="4"/>
  <c r="T152" i="4"/>
  <c r="R127" i="4"/>
  <c r="R134" i="4"/>
  <c r="Q146" i="4"/>
  <c r="Q160" i="4"/>
  <c r="Q145" i="4"/>
  <c r="T12" i="4"/>
  <c r="S13" i="4"/>
  <c r="T157" i="4"/>
  <c r="Q31" i="4"/>
  <c r="T57" i="4"/>
  <c r="T81" i="4"/>
  <c r="S59" i="4"/>
  <c r="T107" i="4"/>
  <c r="Q169" i="4"/>
  <c r="S22" i="4"/>
  <c r="T101" i="4"/>
  <c r="Q103" i="4"/>
  <c r="T18" i="4"/>
  <c r="R92" i="4"/>
  <c r="Q86" i="4"/>
  <c r="T172" i="4"/>
  <c r="R9" i="4"/>
  <c r="T133" i="4"/>
  <c r="R109" i="4"/>
  <c r="T78" i="4"/>
  <c r="T87" i="4"/>
  <c r="Q123" i="4"/>
  <c r="Q105" i="4"/>
  <c r="S168" i="4"/>
  <c r="R22" i="4"/>
  <c r="T139" i="4"/>
  <c r="S149" i="4"/>
  <c r="S177" i="4"/>
  <c r="S15" i="4"/>
  <c r="R35" i="4"/>
  <c r="Q177" i="4"/>
  <c r="R8" i="4"/>
  <c r="S75" i="4"/>
  <c r="R137" i="4"/>
  <c r="Q143" i="4"/>
  <c r="S184" i="4"/>
  <c r="Q41" i="4"/>
  <c r="T56" i="4"/>
  <c r="Q116" i="4"/>
  <c r="S7" i="4"/>
  <c r="Q180" i="4"/>
  <c r="Q76" i="4"/>
  <c r="Q62" i="4"/>
  <c r="Q37" i="4"/>
  <c r="R171" i="4"/>
  <c r="R20" i="4"/>
  <c r="S32" i="4"/>
  <c r="R19" i="4"/>
  <c r="R41" i="4"/>
  <c r="Q17" i="4"/>
  <c r="S169" i="4"/>
  <c r="S111" i="4"/>
  <c r="R29" i="4"/>
  <c r="Q24" i="4"/>
  <c r="R42" i="4"/>
  <c r="R149" i="4"/>
  <c r="Q35" i="4"/>
  <c r="T9" i="4"/>
  <c r="S10" i="4"/>
  <c r="Q106" i="4"/>
  <c r="T119" i="4"/>
  <c r="S61" i="4"/>
  <c r="S36" i="4"/>
  <c r="R118" i="4"/>
  <c r="Q171" i="4"/>
  <c r="T38" i="4"/>
  <c r="T91" i="4"/>
  <c r="R130" i="4"/>
  <c r="Q75" i="4"/>
  <c r="T182" i="4"/>
  <c r="R81" i="4"/>
  <c r="Q15" i="4"/>
  <c r="S120" i="4"/>
  <c r="T151" i="4"/>
  <c r="R180" i="4"/>
  <c r="R154" i="4"/>
  <c r="T114" i="4"/>
  <c r="T46" i="4"/>
  <c r="Q46" i="4"/>
  <c r="S152" i="4"/>
  <c r="R16" i="4"/>
  <c r="T58" i="4"/>
  <c r="S163" i="4"/>
  <c r="S147" i="4"/>
  <c r="T159" i="4"/>
  <c r="Q74" i="4"/>
  <c r="Q49" i="4"/>
  <c r="S30" i="4"/>
  <c r="R61" i="4"/>
  <c r="R90" i="4"/>
  <c r="S24" i="4"/>
  <c r="R108" i="4"/>
  <c r="Q11" i="4"/>
  <c r="R155" i="4"/>
  <c r="R159" i="4"/>
  <c r="S85" i="4"/>
  <c r="S127" i="4"/>
  <c r="S71" i="4"/>
  <c r="R119" i="4"/>
  <c r="S135" i="4"/>
  <c r="R11" i="4"/>
  <c r="T17" i="4"/>
  <c r="T178" i="4"/>
  <c r="S65" i="4"/>
  <c r="S142" i="4"/>
  <c r="T95" i="4"/>
  <c r="S26" i="4"/>
  <c r="Q70" i="4"/>
  <c r="Q65" i="4"/>
  <c r="S27" i="4"/>
  <c r="S141" i="4"/>
  <c r="R67" i="4"/>
  <c r="R111" i="4"/>
  <c r="Q168" i="4"/>
  <c r="S44" i="4"/>
  <c r="S25" i="4"/>
  <c r="Q126" i="4"/>
  <c r="R88" i="4"/>
  <c r="R25" i="4"/>
  <c r="Q178" i="4"/>
  <c r="T30" i="4"/>
  <c r="T179" i="4"/>
  <c r="S108" i="4"/>
  <c r="S12" i="4"/>
  <c r="Q183" i="4"/>
  <c r="R74" i="4"/>
  <c r="T177" i="4"/>
  <c r="Q47" i="4"/>
  <c r="Q104" i="4"/>
  <c r="S64" i="4"/>
  <c r="Q100" i="4"/>
  <c r="Q115" i="4"/>
  <c r="Q113" i="4"/>
  <c r="T54" i="4"/>
  <c r="Q28" i="4"/>
  <c r="Q21" i="4"/>
  <c r="S166" i="4"/>
  <c r="S138" i="4"/>
  <c r="Q119" i="4"/>
  <c r="Q117" i="4"/>
  <c r="Q122" i="4"/>
  <c r="R56" i="4"/>
  <c r="S19" i="4"/>
  <c r="S41" i="4"/>
  <c r="S33" i="4"/>
  <c r="Q163" i="4"/>
  <c r="T94" i="4"/>
  <c r="T122" i="4"/>
  <c r="Q97" i="4"/>
  <c r="Q54" i="4"/>
  <c r="R140" i="4"/>
  <c r="S94" i="4"/>
  <c r="S148" i="4"/>
  <c r="Q33" i="4"/>
  <c r="T48" i="4"/>
  <c r="T23" i="4"/>
  <c r="Q133" i="4"/>
  <c r="Q166" i="4"/>
  <c r="Q69" i="4"/>
  <c r="R75" i="4"/>
  <c r="R144" i="4"/>
  <c r="Q78" i="4"/>
  <c r="Q34" i="4"/>
  <c r="T128" i="4"/>
  <c r="T169" i="4"/>
  <c r="T153" i="4"/>
  <c r="T11" i="4"/>
  <c r="Q159" i="4"/>
  <c r="S57" i="4"/>
  <c r="R43" i="4"/>
  <c r="S153" i="4"/>
  <c r="R103" i="4"/>
  <c r="Q134" i="4"/>
  <c r="S14" i="4"/>
  <c r="R27" i="4"/>
  <c r="Q93" i="4"/>
  <c r="R116" i="4"/>
  <c r="T51" i="4"/>
  <c r="S110" i="4"/>
  <c r="S97" i="4"/>
  <c r="S179" i="4"/>
  <c r="T35" i="4"/>
  <c r="S174" i="4"/>
  <c r="S119" i="4"/>
  <c r="R46" i="4"/>
  <c r="T27" i="4"/>
  <c r="T163" i="4"/>
  <c r="R163" i="4"/>
  <c r="R21" i="4"/>
  <c r="S60" i="4"/>
  <c r="S89" i="4"/>
  <c r="R105" i="4"/>
  <c r="R125" i="4"/>
  <c r="S101" i="4"/>
  <c r="R179" i="4"/>
  <c r="Q40" i="4"/>
  <c r="T68" i="4"/>
  <c r="Q102" i="4"/>
  <c r="T77" i="4"/>
  <c r="Q52" i="4"/>
  <c r="Q61" i="4"/>
  <c r="Q6" i="4"/>
  <c r="Q2" i="4" l="1"/>
  <c r="T2" i="4"/>
  <c r="S2" i="4"/>
  <c r="R2" i="4"/>
  <c r="T188" i="4"/>
  <c r="Q188" i="4"/>
  <c r="S188" i="4"/>
  <c r="R188" i="4"/>
</calcChain>
</file>

<file path=xl/sharedStrings.xml><?xml version="1.0" encoding="utf-8"?>
<sst xmlns="http://schemas.openxmlformats.org/spreadsheetml/2006/main" count="2410" uniqueCount="488">
  <si>
    <t>Period</t>
  </si>
  <si>
    <t>Trade/Legal name</t>
  </si>
  <si>
    <t>GSTIN of supplier</t>
  </si>
  <si>
    <t>Invoice Type</t>
  </si>
  <si>
    <t>Reverse Charge</t>
  </si>
  <si>
    <t>Invoice No</t>
  </si>
  <si>
    <t>Invoice Date</t>
  </si>
  <si>
    <t>Invoice Value</t>
  </si>
  <si>
    <t>Taxable Value</t>
  </si>
  <si>
    <t>Tax Rate</t>
  </si>
  <si>
    <t>IGST</t>
  </si>
  <si>
    <t>CGST</t>
  </si>
  <si>
    <t>SGST</t>
  </si>
  <si>
    <t>Cess</t>
  </si>
  <si>
    <t xml:space="preserve">As per Book </t>
  </si>
  <si>
    <t>As per 2B</t>
  </si>
  <si>
    <t>Diff Book vs 2B</t>
  </si>
  <si>
    <t xml:space="preserve">GST No </t>
  </si>
  <si>
    <t>GST + Invoices No</t>
  </si>
  <si>
    <t>Counts</t>
  </si>
  <si>
    <t>Book Taxable Amount</t>
  </si>
  <si>
    <t>Book IGST</t>
  </si>
  <si>
    <t>Book  CGST</t>
  </si>
  <si>
    <t>Book SGST</t>
  </si>
  <si>
    <t>2B Taxable Amount</t>
  </si>
  <si>
    <t>2B IGST</t>
  </si>
  <si>
    <t>2B CGST</t>
  </si>
  <si>
    <t>2B SGST</t>
  </si>
  <si>
    <t>Taxable Amount</t>
  </si>
  <si>
    <t>Book And 2B Match</t>
  </si>
  <si>
    <t>Book And 2B Mis-Match</t>
  </si>
  <si>
    <t>GST Wisr Status</t>
  </si>
  <si>
    <t xml:space="preserve">Only for the 2B </t>
  </si>
  <si>
    <t xml:space="preserve">GST No Taken And Duplication remove </t>
  </si>
  <si>
    <t>Technowizards Private Limited</t>
  </si>
  <si>
    <t>Proactive Professional Services Pvt. Ltd.</t>
  </si>
  <si>
    <t>BLUE MESSAGGIO PRIVATE LIMITED</t>
  </si>
  <si>
    <t>Dove Soft  Ltd (P)</t>
  </si>
  <si>
    <t>TAGG TELESERVICES PRIVATE LIMITED</t>
  </si>
  <si>
    <t>SEVEN OCEANS TELESERVICES PRIVATE LIMITED</t>
  </si>
  <si>
    <t>Route Mobile Limited_x000D_</t>
  </si>
  <si>
    <t>Rootcause Technology Private Limited</t>
  </si>
  <si>
    <t>SARV WEBS PRIVATE LIMITED</t>
  </si>
  <si>
    <t>AVRIO MOBILITY PRIVATE LIMITED</t>
  </si>
  <si>
    <t>Mobeep Communications Private Limited</t>
  </si>
  <si>
    <t>ONEXTEL MEDIA PRIVATE LIMITED-Cr</t>
  </si>
  <si>
    <t>Genshi Solutions Private Limited</t>
  </si>
  <si>
    <t>SMART TECH MESSAGING PRIVATE LIMITED-CR</t>
  </si>
  <si>
    <t>FACEBOOK INDIA ONLINE SERVICES PRIVATE LIMITED</t>
  </si>
  <si>
    <t>E Trav Tech Private Limited</t>
  </si>
  <si>
    <t>National Securities Depository Limited-NSDL</t>
  </si>
  <si>
    <t>Mathia &amp; Co.</t>
  </si>
  <si>
    <t>Vandan  Infotech</t>
  </si>
  <si>
    <t>Jinesh Enterprises</t>
  </si>
  <si>
    <t>PURVA SHAREGISTRY (INDIA) PVT. LTD.</t>
  </si>
  <si>
    <t>CENTRAL DEPOSITORY SERVICES (INDIA) LIMITED</t>
  </si>
  <si>
    <t>Legal Entity Identifier India Limited</t>
  </si>
  <si>
    <t>ICICI BANK LIMITED</t>
  </si>
  <si>
    <t>BDS Legal Services</t>
  </si>
  <si>
    <t>Purchase</t>
  </si>
  <si>
    <t>Journal</t>
  </si>
  <si>
    <t>Payment</t>
  </si>
  <si>
    <t>Debit Note</t>
  </si>
  <si>
    <t>27AAICT8273F1ZY</t>
  </si>
  <si>
    <t>08AAECP9085D2Z5</t>
  </si>
  <si>
    <t>27AALCB9501D1ZS</t>
  </si>
  <si>
    <t>27AADCD9460D1ZO</t>
  </si>
  <si>
    <t>07AAHCT4293N1ZO</t>
  </si>
  <si>
    <t>27ABDCS7338G1Z4</t>
  </si>
  <si>
    <t>27AACCR7740M1ZX</t>
  </si>
  <si>
    <t>24AALCR1836M1Z1</t>
  </si>
  <si>
    <t>08AAPCS9984F1ZG</t>
  </si>
  <si>
    <t>27AASCA5981H1Z2</t>
  </si>
  <si>
    <t>23AAQCM8669N1ZG</t>
  </si>
  <si>
    <t>09AACCO0905F2ZR</t>
  </si>
  <si>
    <t>06AAKCG3365R1ZX</t>
  </si>
  <si>
    <t>09ABHCS5775R1Z6</t>
  </si>
  <si>
    <t>06AABCF5150G1ZZ</t>
  </si>
  <si>
    <t>27AAECR8945A1ZB</t>
  </si>
  <si>
    <t>27AADCN9802F1ZG</t>
  </si>
  <si>
    <t>27AAWFM3818Q1Z9</t>
  </si>
  <si>
    <t>27AABPV6272G1ZF</t>
  </si>
  <si>
    <t>27AANFJ4391E1Z4</t>
  </si>
  <si>
    <t>27AAACP4924D1ZO</t>
  </si>
  <si>
    <t>27AAACC6233A1Z9</t>
  </si>
  <si>
    <t>27AACCL9508M1Z1</t>
  </si>
  <si>
    <t>27AAACI1195H1ZM</t>
  </si>
  <si>
    <t>27AAGCB5066J1ZG</t>
  </si>
  <si>
    <t>TW/25-26/1001</t>
  </si>
  <si>
    <t>PPSPL/25-26/0011</t>
  </si>
  <si>
    <t>BMPL0036</t>
  </si>
  <si>
    <t>25-26/4/214</t>
  </si>
  <si>
    <t>TTSPL20250425</t>
  </si>
  <si>
    <t>STPL/25-26/012</t>
  </si>
  <si>
    <t>RM/04-25/PP0480</t>
  </si>
  <si>
    <t>TW/25-26/1012</t>
  </si>
  <si>
    <t>BMPL0046</t>
  </si>
  <si>
    <t>PPSPL/25-26/0114</t>
  </si>
  <si>
    <t>INV-R000368</t>
  </si>
  <si>
    <t>25-26/5/206</t>
  </si>
  <si>
    <t>STPL/25-26/034</t>
  </si>
  <si>
    <t>TTSPL20250534</t>
  </si>
  <si>
    <t>RM/05-25/PP0466</t>
  </si>
  <si>
    <t>TW/2025-26/1027</t>
  </si>
  <si>
    <t>BMPL0060</t>
  </si>
  <si>
    <t>PPSPL/25-26/0212</t>
  </si>
  <si>
    <t>INV-R000370</t>
  </si>
  <si>
    <t>SWPLJUN25-26/100</t>
  </si>
  <si>
    <t>TTSPL20250627</t>
  </si>
  <si>
    <t>25-26/6/178</t>
  </si>
  <si>
    <t>TW/2025-26/1045</t>
  </si>
  <si>
    <t>BMPL0068</t>
  </si>
  <si>
    <t>PPSPL/25-26/0357</t>
  </si>
  <si>
    <t>TTSPL20250725</t>
  </si>
  <si>
    <t>25-26/7/227</t>
  </si>
  <si>
    <t>STPL/25-26/093</t>
  </si>
  <si>
    <t>BMPL0077</t>
  </si>
  <si>
    <t>RM/07-25/PP0540</t>
  </si>
  <si>
    <t>SWPLJUL25-26/141</t>
  </si>
  <si>
    <t>AV1001/25-26/01</t>
  </si>
  <si>
    <t>PPSPL/25-26/0415</t>
  </si>
  <si>
    <t>MCPL/25-26/20</t>
  </si>
  <si>
    <t>STPL/25-26/126</t>
  </si>
  <si>
    <t>TTSPL20250822</t>
  </si>
  <si>
    <t>25-26/8/247</t>
  </si>
  <si>
    <t>RM/08-25/PP0517</t>
  </si>
  <si>
    <t>MCPL/25-26/24</t>
  </si>
  <si>
    <t>TW/2025-26/1076</t>
  </si>
  <si>
    <t>BMPL0090</t>
  </si>
  <si>
    <t>TTSPL20250930</t>
  </si>
  <si>
    <t>RM/09-25/PP0595</t>
  </si>
  <si>
    <t>25-26/9/258</t>
  </si>
  <si>
    <t>STPL/25-26/153</t>
  </si>
  <si>
    <t>TW/2025-26/1086</t>
  </si>
  <si>
    <t>BMPL0099</t>
  </si>
  <si>
    <t>25-26/10/217</t>
  </si>
  <si>
    <t>TTSPL20251023</t>
  </si>
  <si>
    <t>STPL-25-26/179</t>
  </si>
  <si>
    <t>MCPL/25-26/41</t>
  </si>
  <si>
    <t>BMPL0109</t>
  </si>
  <si>
    <t>RM/11-25/PP0360</t>
  </si>
  <si>
    <t>25-26/11/256</t>
  </si>
  <si>
    <t>TTSPL20251114</t>
  </si>
  <si>
    <t>STPL/25-26/206</t>
  </si>
  <si>
    <t>ONEX25-26/12/142</t>
  </si>
  <si>
    <t>25-26/12/63</t>
  </si>
  <si>
    <t>BMPL0121</t>
  </si>
  <si>
    <t>MCPL/25-26/49</t>
  </si>
  <si>
    <t>RC-3126</t>
  </si>
  <si>
    <t>25-26/12/270</t>
  </si>
  <si>
    <t>STPL/25-26/231</t>
  </si>
  <si>
    <t>TTSPL20251225</t>
  </si>
  <si>
    <t>SWPLDEC25-26/147</t>
  </si>
  <si>
    <t>25-26/12/375</t>
  </si>
  <si>
    <t>25-26/12/376</t>
  </si>
  <si>
    <t>25-26/12/377</t>
  </si>
  <si>
    <t>25-26/12/378</t>
  </si>
  <si>
    <t>RC-3360</t>
  </si>
  <si>
    <t>BMPL0145</t>
  </si>
  <si>
    <t>ONEX25-26/01/211</t>
  </si>
  <si>
    <t>MCPL/25-26/55</t>
  </si>
  <si>
    <t>RC-3556</t>
  </si>
  <si>
    <t>PPSPL/25-26/0951</t>
  </si>
  <si>
    <t>TTSPL20260124</t>
  </si>
  <si>
    <t>STPL/25-26/259</t>
  </si>
  <si>
    <t>25-26/1/366</t>
  </si>
  <si>
    <t>BMPL0168</t>
  </si>
  <si>
    <t>PPSPL/25-26/1019</t>
  </si>
  <si>
    <t>RC-3766</t>
  </si>
  <si>
    <t>MCPL/25-26/63</t>
  </si>
  <si>
    <t>ONEX25-26/02/236</t>
  </si>
  <si>
    <t>TTSPL20260217</t>
  </si>
  <si>
    <t>25-26/2/331</t>
  </si>
  <si>
    <t>RC4223</t>
  </si>
  <si>
    <t>PPSPL/25-26/1119</t>
  </si>
  <si>
    <t>MCPL/25-26/69</t>
  </si>
  <si>
    <t>BMPL0195</t>
  </si>
  <si>
    <t>ONEX25-26/03/246</t>
  </si>
  <si>
    <t>STMP/25-26/188</t>
  </si>
  <si>
    <t>STMP/25-26/189</t>
  </si>
  <si>
    <t>ONEX25-26/03/369</t>
  </si>
  <si>
    <t>TTSPL20260320</t>
  </si>
  <si>
    <t>25-26/3/396</t>
  </si>
  <si>
    <t>RC4546</t>
  </si>
  <si>
    <t>STPL/25-26/337</t>
  </si>
  <si>
    <t>MCPL/25-26/73</t>
  </si>
  <si>
    <t>STMPL/25-26/205</t>
  </si>
  <si>
    <t>ADS406-104287387</t>
  </si>
  <si>
    <t>ADS406-104290423</t>
  </si>
  <si>
    <t>ADS406-104296522</t>
  </si>
  <si>
    <t>ADS406-104299421</t>
  </si>
  <si>
    <t>SH/APR‐25/136</t>
  </si>
  <si>
    <t>UCF/DT0425/56863</t>
  </si>
  <si>
    <t>ADS406-104334095</t>
  </si>
  <si>
    <t>ADS406-104336831</t>
  </si>
  <si>
    <t>ADS406-104353979</t>
  </si>
  <si>
    <t>ADS406-104356904</t>
  </si>
  <si>
    <t>ADS406-104359679</t>
  </si>
  <si>
    <t>ADS406-104368307</t>
  </si>
  <si>
    <t>ADS406-104371660</t>
  </si>
  <si>
    <t>SH/MAY‐25/53</t>
  </si>
  <si>
    <t>SH/MAY‐25/45</t>
  </si>
  <si>
    <t>ADS406-104380265</t>
  </si>
  <si>
    <t>ADS406-104383153</t>
  </si>
  <si>
    <t>ADS406-104399344</t>
  </si>
  <si>
    <t>MCO25-26794</t>
  </si>
  <si>
    <t>ADS406-104435085</t>
  </si>
  <si>
    <t>ADS406-104438440</t>
  </si>
  <si>
    <t>SER/25-26/05/05</t>
  </si>
  <si>
    <t>SH/MAY‐25/171</t>
  </si>
  <si>
    <t xml:space="preserve">ADS406-104485890_x000D_
</t>
  </si>
  <si>
    <t xml:space="preserve">ADS406-104489154_x000D_
</t>
  </si>
  <si>
    <t>MCO2526838</t>
  </si>
  <si>
    <t>J/25-26/660</t>
  </si>
  <si>
    <t>MCO2526856</t>
  </si>
  <si>
    <t>MCO2526876</t>
  </si>
  <si>
    <t>2025-26/2721</t>
  </si>
  <si>
    <t>420252026120907</t>
  </si>
  <si>
    <t>MCO2526965</t>
  </si>
  <si>
    <t>MCO25261017</t>
  </si>
  <si>
    <t>INV-R000390</t>
  </si>
  <si>
    <t>MCO25261055</t>
  </si>
  <si>
    <t>MCO25261086</t>
  </si>
  <si>
    <t>MCO25261116</t>
  </si>
  <si>
    <t>IRG/2526/0028267</t>
  </si>
  <si>
    <t>0138251355278901</t>
  </si>
  <si>
    <t>0138261372750757</t>
  </si>
  <si>
    <t>0138261384051212</t>
  </si>
  <si>
    <t>0138261384181047</t>
  </si>
  <si>
    <t>0138261384181210</t>
  </si>
  <si>
    <t>0138261386221113</t>
  </si>
  <si>
    <t>MCO25261216</t>
  </si>
  <si>
    <t>TXN/25-26/1136</t>
  </si>
  <si>
    <t>ADS406-104513598</t>
  </si>
  <si>
    <t>MCO24251562</t>
  </si>
  <si>
    <t>August,2025</t>
  </si>
  <si>
    <t>March,2026</t>
  </si>
  <si>
    <t>BDS SERVICES PRIVATE LIMITED</t>
  </si>
  <si>
    <t>April,2025</t>
  </si>
  <si>
    <t>May,2025</t>
  </si>
  <si>
    <t>June,2025</t>
  </si>
  <si>
    <t>July,2025</t>
  </si>
  <si>
    <t>September,2025</t>
  </si>
  <si>
    <t>October,2025</t>
  </si>
  <si>
    <t>November,2025</t>
  </si>
  <si>
    <t>December,2025</t>
  </si>
  <si>
    <t>January,2026</t>
  </si>
  <si>
    <t>February,2026</t>
  </si>
  <si>
    <t>DOVE SOFT PRIVATE LIMITED</t>
  </si>
  <si>
    <t>E Trav Tech Limited</t>
  </si>
  <si>
    <t>JINESH ENTERPRISES</t>
  </si>
  <si>
    <t>MATHIA &amp; CO.</t>
  </si>
  <si>
    <t>MATHIA AND CO</t>
  </si>
  <si>
    <t>07AAWFM3818Q1ZB</t>
  </si>
  <si>
    <t>NATIONAL SECURITIES DEPOSITORY LIMITED</t>
  </si>
  <si>
    <t>ONEXTEL MEDIA PRIVATE LIMITED</t>
  </si>
  <si>
    <t>PROACTIVE PROFESSIONAL SERVICES PRIVATE LIMITED</t>
  </si>
  <si>
    <t>ROOTCAUSE TECHNOLOGY PRIVATE LIMITED</t>
  </si>
  <si>
    <t>ROUTE MOBILE LIMITED</t>
  </si>
  <si>
    <t>SAVVY BUSINESS SOLUTIONS PRIVATE LIMITED</t>
  </si>
  <si>
    <t>27AAOCS8108A1ZD</t>
  </si>
  <si>
    <t>SMART TECH MESSAGING PRIVATE LIMITED</t>
  </si>
  <si>
    <t>TECHNOWIZARDS PRIVATE LIMITED</t>
  </si>
  <si>
    <t>TEXTCELL</t>
  </si>
  <si>
    <t>27BVDPM7213A1ZZ</t>
  </si>
  <si>
    <t>VANDAN INFOTECH</t>
  </si>
  <si>
    <t>Regular</t>
  </si>
  <si>
    <t>No</t>
  </si>
  <si>
    <t>25-26/3/377</t>
  </si>
  <si>
    <t>SH/APR-25/275</t>
  </si>
  <si>
    <t>SH/MAY-25/45</t>
  </si>
  <si>
    <t>SH/MAY-25/53</t>
  </si>
  <si>
    <t>SH/MAY-25/171</t>
  </si>
  <si>
    <t>ADS406-104485890</t>
  </si>
  <si>
    <t>ADS406-104489154</t>
  </si>
  <si>
    <t>RC-4223</t>
  </si>
  <si>
    <t>RC-4546</t>
  </si>
  <si>
    <t>MCO-D252651</t>
  </si>
  <si>
    <t>MCPL/25-26/34</t>
  </si>
  <si>
    <t>2025-26-2721</t>
  </si>
  <si>
    <t>SB2526827</t>
  </si>
  <si>
    <t>SB2526843</t>
  </si>
  <si>
    <t>SB2526862</t>
  </si>
  <si>
    <t>SB2526892</t>
  </si>
  <si>
    <t>SB2526922</t>
  </si>
  <si>
    <t>STPL/25-26/179</t>
  </si>
  <si>
    <t>STMPL/25-26/188</t>
  </si>
  <si>
    <t>STMPL/25-26/189</t>
  </si>
  <si>
    <t>TW/2025-26/1001</t>
  </si>
  <si>
    <t>TW/2025-26/1012</t>
  </si>
  <si>
    <t>2020198</t>
  </si>
  <si>
    <t>SER/25-26/05/08</t>
  </si>
  <si>
    <t>DN</t>
  </si>
  <si>
    <t>79</t>
  </si>
  <si>
    <t>MCO2526842</t>
  </si>
  <si>
    <t>MCO-D252650</t>
  </si>
  <si>
    <t>MCPL/CN/25-26/1</t>
  </si>
  <si>
    <t>SB2526967</t>
  </si>
  <si>
    <t>SB2526968</t>
  </si>
  <si>
    <t>SB2526969</t>
  </si>
  <si>
    <t>SB2526970</t>
  </si>
  <si>
    <t>SB2526971</t>
  </si>
  <si>
    <t>27AAICT8273F1ZY_TW/25-26/1001</t>
  </si>
  <si>
    <t>08AAECP9085D2Z5_PPSPL/25-26/0011</t>
  </si>
  <si>
    <t>27AALCB9501D1ZS_BMPL0036</t>
  </si>
  <si>
    <t>27AADCD9460D1ZO_25-26/4/214</t>
  </si>
  <si>
    <t>07AAHCT4293N1ZO_TTSPL20250425</t>
  </si>
  <si>
    <t>27ABDCS7338G1Z4_STPL/25-26/012</t>
  </si>
  <si>
    <t>27AACCR7740M1ZX_RM/04-25/PP0480</t>
  </si>
  <si>
    <t>27AAICT8273F1ZY_TW/25-26/1012</t>
  </si>
  <si>
    <t>27AALCB9501D1ZS_BMPL0046</t>
  </si>
  <si>
    <t>08AAECP9085D2Z5_PPSPL/25-26/0114</t>
  </si>
  <si>
    <t>24AALCR1836M1Z1_INV-R000368</t>
  </si>
  <si>
    <t>27AADCD9460D1ZO_25-26/5/206</t>
  </si>
  <si>
    <t>27ABDCS7338G1Z4_STPL/25-26/034</t>
  </si>
  <si>
    <t>07AAHCT4293N1ZO_TTSPL20250534</t>
  </si>
  <si>
    <t>27AACCR7740M1ZX_RM/05-25/PP0466</t>
  </si>
  <si>
    <t>27AAICT8273F1ZY_TW/2025-26/1027</t>
  </si>
  <si>
    <t>27AALCB9501D1ZS_BMPL0060</t>
  </si>
  <si>
    <t>08AAECP9085D2Z5_PPSPL/25-26/0212</t>
  </si>
  <si>
    <t>24AALCR1836M1Z1_INV-R000370</t>
  </si>
  <si>
    <t>08AAPCS9984F1ZG_SWPLJUN25-26/100</t>
  </si>
  <si>
    <t>07AAHCT4293N1ZO_TTSPL20250627</t>
  </si>
  <si>
    <t>27AADCD9460D1ZO_25-26/6/178</t>
  </si>
  <si>
    <t>27AAICT8273F1ZY_TW/2025-26/1045</t>
  </si>
  <si>
    <t>27AALCB9501D1ZS_BMPL0068</t>
  </si>
  <si>
    <t>08AAECP9085D2Z5_PPSPL/25-26/0357</t>
  </si>
  <si>
    <t>07AAHCT4293N1ZO_TTSPL20250725</t>
  </si>
  <si>
    <t>27AADCD9460D1ZO_25-26/7/227</t>
  </si>
  <si>
    <t>27ABDCS7338G1Z4_STPL/25-26/093</t>
  </si>
  <si>
    <t>27AALCB9501D1ZS_BMPL0077</t>
  </si>
  <si>
    <t>27AACCR7740M1ZX_RM/07-25/PP0540</t>
  </si>
  <si>
    <t>08AAPCS9984F1ZG_SWPLJUL25-26/141</t>
  </si>
  <si>
    <t>27AASCA5981H1Z2_AV1001/25-26/01</t>
  </si>
  <si>
    <t>08AAECP9085D2Z5_PPSPL/25-26/0415</t>
  </si>
  <si>
    <t>23AAQCM8669N1ZG_MCPL/25-26/20</t>
  </si>
  <si>
    <t>27ABDCS7338G1Z4_STPL/25-26/126</t>
  </si>
  <si>
    <t>07AAHCT4293N1ZO_TTSPL20250822</t>
  </si>
  <si>
    <t>27AADCD9460D1ZO_25-26/8/247</t>
  </si>
  <si>
    <t>27AACCR7740M1ZX_RM/08-25/PP0517</t>
  </si>
  <si>
    <t>23AAQCM8669N1ZG_MCPL/25-26/24</t>
  </si>
  <si>
    <t>27AAICT8273F1ZY_TW/2025-26/1076</t>
  </si>
  <si>
    <t>27AALCB9501D1ZS_BMPL0090</t>
  </si>
  <si>
    <t>07AAHCT4293N1ZO_TTSPL20250930</t>
  </si>
  <si>
    <t>27AACCR7740M1ZX_RM/09-25/PP0595</t>
  </si>
  <si>
    <t>27AADCD9460D1ZO_25-26/9/258</t>
  </si>
  <si>
    <t>27ABDCS7338G1Z4_STPL/25-26/153</t>
  </si>
  <si>
    <t>27AAICT8273F1ZY_TW/2025-26/1086</t>
  </si>
  <si>
    <t>27AALCB9501D1ZS_BMPL0099</t>
  </si>
  <si>
    <t>27AADCD9460D1ZO_25-26/10/217</t>
  </si>
  <si>
    <t>07AAHCT4293N1ZO_TTSPL20251023</t>
  </si>
  <si>
    <t>27ABDCS7338G1Z4_STPL-25-26/179</t>
  </si>
  <si>
    <t>23AAQCM8669N1ZG_MCPL/25-26/41</t>
  </si>
  <si>
    <t>27AALCB9501D1ZS_BMPL0109</t>
  </si>
  <si>
    <t>27AACCR7740M1ZX_RM/11-25/PP0360</t>
  </si>
  <si>
    <t>27AADCD9460D1ZO_25-26/11/256</t>
  </si>
  <si>
    <t>07AAHCT4293N1ZO_TTSPL20251114</t>
  </si>
  <si>
    <t>27ABDCS7338G1Z4_STPL/25-26/206</t>
  </si>
  <si>
    <t>09AACCO0905F2ZR_ONEX25-26/12/142</t>
  </si>
  <si>
    <t>27AADCD9460D1ZO_25-26/12/63</t>
  </si>
  <si>
    <t>27AALCB9501D1ZS_BMPL0121</t>
  </si>
  <si>
    <t>23AAQCM8669N1ZG_MCPL/25-26/49</t>
  </si>
  <si>
    <t>06AAKCG3365R1ZX_RC-3126</t>
  </si>
  <si>
    <t>27AADCD9460D1ZO_25-26/12/270</t>
  </si>
  <si>
    <t>27ABDCS7338G1Z4_STPL/25-26/231</t>
  </si>
  <si>
    <t>07AAHCT4293N1ZO_TTSPL20251225</t>
  </si>
  <si>
    <t>08AAPCS9984F1ZG_SWPLDEC25-26/147</t>
  </si>
  <si>
    <t>27AADCD9460D1ZO_25-26/12/375</t>
  </si>
  <si>
    <t>27AADCD9460D1ZO_25-26/12/376</t>
  </si>
  <si>
    <t>27AADCD9460D1ZO_25-26/12/377</t>
  </si>
  <si>
    <t>27AADCD9460D1ZO_25-26/12/378</t>
  </si>
  <si>
    <t>06AAKCG3365R1ZX_RC-3360</t>
  </si>
  <si>
    <t>27AALCB9501D1ZS_BMPL0145</t>
  </si>
  <si>
    <t>09AACCO0905F2ZR_ONEX25-26/01/211</t>
  </si>
  <si>
    <t>23AAQCM8669N1ZG_MCPL/25-26/55</t>
  </si>
  <si>
    <t>06AAKCG3365R1ZX_RC-3556</t>
  </si>
  <si>
    <t>08AAECP9085D2Z5_PPSPL/25-26/0951</t>
  </si>
  <si>
    <t>07AAHCT4293N1ZO_TTSPL20260124</t>
  </si>
  <si>
    <t>27ABDCS7338G1Z4_STPL/25-26/259</t>
  </si>
  <si>
    <t>27AADCD9460D1ZO_25-26/1/366</t>
  </si>
  <si>
    <t>27AALCB9501D1ZS_BMPL0168</t>
  </si>
  <si>
    <t>08AAECP9085D2Z5_PPSPL/25-26/1019</t>
  </si>
  <si>
    <t>06AAKCG3365R1ZX_RC-3766</t>
  </si>
  <si>
    <t>23AAQCM8669N1ZG_MCPL/25-26/63</t>
  </si>
  <si>
    <t>09AACCO0905F2ZR_ONEX25-26/02/236</t>
  </si>
  <si>
    <t>07AAHCT4293N1ZO_TTSPL20260217</t>
  </si>
  <si>
    <t>27AADCD9460D1ZO_25-26/2/331</t>
  </si>
  <si>
    <t>06AAKCG3365R1ZX_RC4223</t>
  </si>
  <si>
    <t>08AAECP9085D2Z5_PPSPL/25-26/1119</t>
  </si>
  <si>
    <t>23AAQCM8669N1ZG_MCPL/25-26/69</t>
  </si>
  <si>
    <t>27AALCB9501D1ZS_BMPL0195</t>
  </si>
  <si>
    <t>09AACCO0905F2ZR_ONEX25-26/03/246</t>
  </si>
  <si>
    <t>09ABHCS5775R1Z6_STMP/25-26/188</t>
  </si>
  <si>
    <t>09ABHCS5775R1Z6_STMP/25-26/189</t>
  </si>
  <si>
    <t>09AACCO0905F2ZR_ONEX25-26/03/369</t>
  </si>
  <si>
    <t>07AAHCT4293N1ZO_TTSPL20260320</t>
  </si>
  <si>
    <t>27AADCD9460D1ZO_25-26/3/396</t>
  </si>
  <si>
    <t>06AAKCG3365R1ZX_RC4546</t>
  </si>
  <si>
    <t>27ABDCS7338G1Z4_STPL/25-26/337</t>
  </si>
  <si>
    <t>23AAQCM8669N1ZG_MCPL/25-26/73</t>
  </si>
  <si>
    <t>09ABHCS5775R1Z6_STMPL/25-26/205</t>
  </si>
  <si>
    <t>06AABCF5150G1ZZ_ADS406-104287387</t>
  </si>
  <si>
    <t>06AABCF5150G1ZZ_ADS406-104290423</t>
  </si>
  <si>
    <t>06AABCF5150G1ZZ_ADS406-104296522</t>
  </si>
  <si>
    <t>06AABCF5150G1ZZ_ADS406-104299421</t>
  </si>
  <si>
    <t>27AAECR8945A1ZB_SH/APR‐25/136</t>
  </si>
  <si>
    <t>27AADCN9802F1ZG_UCF/DT0425/56863</t>
  </si>
  <si>
    <t>06AABCF5150G1ZZ_ADS406-104334095</t>
  </si>
  <si>
    <t>06AABCF5150G1ZZ_ADS406-104336831</t>
  </si>
  <si>
    <t>06AABCF5150G1ZZ_ADS406-104353979</t>
  </si>
  <si>
    <t>06AABCF5150G1ZZ_ADS406-104356904</t>
  </si>
  <si>
    <t>06AABCF5150G1ZZ_ADS406-104359679</t>
  </si>
  <si>
    <t>06AABCF5150G1ZZ_ADS406-104368307</t>
  </si>
  <si>
    <t>06AABCF5150G1ZZ_ADS406-104371660</t>
  </si>
  <si>
    <t>27AAECR8945A1ZB_SH/MAY‐25/53</t>
  </si>
  <si>
    <t>27AAECR8945A1ZB_SH/MAY‐25/45</t>
  </si>
  <si>
    <t>06AABCF5150G1ZZ_ADS406-104380265</t>
  </si>
  <si>
    <t>06AABCF5150G1ZZ_ADS406-104383153</t>
  </si>
  <si>
    <t>06AABCF5150G1ZZ_ADS406-104399344</t>
  </si>
  <si>
    <t>27AAWFM3818Q1Z9_MCO25-26794</t>
  </si>
  <si>
    <t>06AABCF5150G1ZZ_ADS406-104435085</t>
  </si>
  <si>
    <t>06AABCF5150G1ZZ_ADS406-104438440</t>
  </si>
  <si>
    <t>27AABPV6272G1ZF_SER/25-26/05/05</t>
  </si>
  <si>
    <t>27AAECR8945A1ZB_SH/MAY‐25/171</t>
  </si>
  <si>
    <t xml:space="preserve">06AABCF5150G1ZZ_ADS406-104485890_x000D_
</t>
  </si>
  <si>
    <t xml:space="preserve">06AABCF5150G1ZZ_ADS406-104489154_x000D_
</t>
  </si>
  <si>
    <t>27AAWFM3818Q1Z9_MCO2526838</t>
  </si>
  <si>
    <t>27AANFJ4391E1Z4_J/25-26/660</t>
  </si>
  <si>
    <t>27AAWFM3818Q1Z9_MCO2526856</t>
  </si>
  <si>
    <t>27AAWFM3818Q1Z9_MCO2526876</t>
  </si>
  <si>
    <t>27AAACP4924D1ZO_2025-26/2721</t>
  </si>
  <si>
    <t>27AAACC6233A1Z9_420252026120907</t>
  </si>
  <si>
    <t>27AAWFM3818Q1Z9_MCO2526965</t>
  </si>
  <si>
    <t>27AAWFM3818Q1Z9_MCO25261017</t>
  </si>
  <si>
    <t>24AALCR1836M1Z1_INV-R000390</t>
  </si>
  <si>
    <t>27AAWFM3818Q1Z9_MCO25261055</t>
  </si>
  <si>
    <t>27AAWFM3818Q1Z9_MCO25261086</t>
  </si>
  <si>
    <t>27AAWFM3818Q1Z9_MCO25261116</t>
  </si>
  <si>
    <t>27AACCL9508M1Z1_IRG/2526/0028267</t>
  </si>
  <si>
    <t>27AAACI1195H1ZM_0138251355278901</t>
  </si>
  <si>
    <t>27AAACI1195H1ZM_0138261372750757</t>
  </si>
  <si>
    <t>27AAACI1195H1ZM_0138261384051212</t>
  </si>
  <si>
    <t>27AAACI1195H1ZM_0138261384181047</t>
  </si>
  <si>
    <t>27AAACI1195H1ZM_0138261384181210</t>
  </si>
  <si>
    <t>27AAACI1195H1ZM_0138261386221113</t>
  </si>
  <si>
    <t>27AAWFM3818Q1Z9_MCO25261216</t>
  </si>
  <si>
    <t>27AAGCB5066J1ZG_TXN/25-26/1136</t>
  </si>
  <si>
    <t>06AABCF5150G1ZZ_ADS406-104513598</t>
  </si>
  <si>
    <t>27AAWFM3818Q1Z9_MCO24251562</t>
  </si>
  <si>
    <t>27AADCD9460D1ZO_25-26/3/377</t>
  </si>
  <si>
    <t>27AAECR8945A1ZB_SH/APR-25/275</t>
  </si>
  <si>
    <t>27AAECR8945A1ZB_SH/MAY-25/45</t>
  </si>
  <si>
    <t>27AAECR8945A1ZB_SH/MAY-25/53</t>
  </si>
  <si>
    <t>27AAECR8945A1ZB_SH/MAY-25/171</t>
  </si>
  <si>
    <t>06AABCF5150G1ZZ_ADS406-104485890</t>
  </si>
  <si>
    <t>06AABCF5150G1ZZ_ADS406-104489154</t>
  </si>
  <si>
    <t>06AAKCG3365R1ZX_RC-4223</t>
  </si>
  <si>
    <t>06AAKCG3365R1ZX_RC-4546</t>
  </si>
  <si>
    <t>07AAWFM3818Q1ZB_MCO-D252651</t>
  </si>
  <si>
    <t>23AAQCM8669N1ZG_MCPL/25-26/34</t>
  </si>
  <si>
    <t>27AAACP4924D1ZO_2025-26-2721</t>
  </si>
  <si>
    <t>27AAOCS8108A1ZD_SB2526827</t>
  </si>
  <si>
    <t>27AAOCS8108A1ZD_SB2526843</t>
  </si>
  <si>
    <t>27AAOCS8108A1ZD_SB2526862</t>
  </si>
  <si>
    <t>27AAOCS8108A1ZD_SB2526892</t>
  </si>
  <si>
    <t>27AAOCS8108A1ZD_SB2526922</t>
  </si>
  <si>
    <t>27ABDCS7338G1Z4_STPL/25-26/179</t>
  </si>
  <si>
    <t>09ABHCS5775R1Z6_STMPL/25-26/188</t>
  </si>
  <si>
    <t>09ABHCS5775R1Z6_STMPL/25-26/189</t>
  </si>
  <si>
    <t>27AAICT8273F1ZY_TW/2025-26/1001</t>
  </si>
  <si>
    <t>27AAICT8273F1ZY_TW/2025-26/1012</t>
  </si>
  <si>
    <t>27BVDPM7213A1ZZ_2020198</t>
  </si>
  <si>
    <t>27AABPV6272G1ZF_SER/25-26/05/08</t>
  </si>
  <si>
    <t>27AADCD9460D1ZO_79</t>
  </si>
  <si>
    <t>27AAWFM3818Q1Z9_MCO2526842</t>
  </si>
  <si>
    <t>07AAWFM3818Q1ZB_MCO-D252650</t>
  </si>
  <si>
    <t>23AAQCM8669N1ZG_MCPL/CN/25-26/1</t>
  </si>
  <si>
    <t>27AAOCS8108A1ZD_SB2526967</t>
  </si>
  <si>
    <t>27AAOCS8108A1ZD_SB2526968</t>
  </si>
  <si>
    <t>27AAOCS8108A1ZD_SB2526969</t>
  </si>
  <si>
    <t>27AAOCS8108A1ZD_SB2526970</t>
  </si>
  <si>
    <t>27AAOCS8108A1ZD_SB2526971</t>
  </si>
  <si>
    <t>Book And 2B Match-Invocies No Mis-Match</t>
  </si>
  <si>
    <t xml:space="preserve">Only for the book </t>
  </si>
  <si>
    <t xml:space="preserve">Final Remarks </t>
  </si>
  <si>
    <t>Vendor are show in 2B - Tax Invoices and CN</t>
  </si>
  <si>
    <t xml:space="preserve">Final Report 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</si>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</sst>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###,##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9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/>
    <xf numFmtId="164" fontId="0" fillId="0" borderId="0" xfId="2" applyFont="1"/>
    <xf numFmtId="164" fontId="0" fillId="0" borderId="0" xfId="2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164" fontId="0" fillId="0" borderId="1" xfId="2" applyFont="1" applyBorder="1"/>
    <xf numFmtId="164" fontId="0" fillId="0" borderId="2" xfId="2" applyFont="1" applyBorder="1"/>
    <xf numFmtId="164" fontId="0" fillId="0" borderId="2" xfId="2" applyFont="1" applyFill="1" applyBorder="1"/>
    <xf numFmtId="164" fontId="0" fillId="0" borderId="1" xfId="2" applyFont="1" applyBorder="1" applyAlignment="1">
      <alignment horizontal="center"/>
    </xf>
    <xf numFmtId="0" fontId="2" fillId="0" borderId="1" xfId="0" applyFont="1" applyBorder="1"/>
    <xf numFmtId="0" fontId="0" fillId="0" borderId="5" xfId="0" applyBorder="1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49" fontId="3" fillId="3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43" fontId="3" fillId="2" borderId="1" xfId="1" applyFont="1" applyFill="1" applyBorder="1" applyAlignment="1">
      <alignment horizontal="center" vertical="center"/>
    </xf>
    <xf numFmtId="43" fontId="0" fillId="0" borderId="0" xfId="1" applyFont="1" applyAlignment="1"/>
    <xf numFmtId="43" fontId="0" fillId="0" borderId="10" xfId="1" applyFont="1" applyBorder="1" applyAlignment="1"/>
    <xf numFmtId="165" fontId="3" fillId="2" borderId="11" xfId="0" applyNumberFormat="1" applyFont="1" applyFill="1" applyBorder="1" applyAlignment="1">
      <alignment horizontal="center" vertical="center"/>
    </xf>
    <xf numFmtId="164" fontId="0" fillId="0" borderId="6" xfId="2" applyFont="1" applyBorder="1" applyAlignment="1">
      <alignment horizontal="center"/>
    </xf>
    <xf numFmtId="164" fontId="0" fillId="0" borderId="7" xfId="2" applyFont="1" applyBorder="1" applyAlignment="1">
      <alignment horizontal="center"/>
    </xf>
    <xf numFmtId="164" fontId="0" fillId="0" borderId="4" xfId="2" applyFont="1" applyBorder="1" applyAlignment="1">
      <alignment horizontal="center"/>
    </xf>
    <xf numFmtId="164" fontId="0" fillId="0" borderId="8" xfId="2" applyFont="1" applyBorder="1" applyAlignment="1">
      <alignment horizontal="center"/>
    </xf>
    <xf numFmtId="164" fontId="0" fillId="0" borderId="9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49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Comma 2" xfId="2" xr:uid="{9D4644E8-8C72-40AF-B497-A0089418678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112F7-B566-4212-A23F-DEB765E4BE43}">
  <dimension ref="A1:Y188"/>
  <sheetViews>
    <sheetView topLeftCell="A164" workbookViewId="0">
      <selection activeCell="U185" sqref="U185"/>
    </sheetView>
  </sheetViews>
  <sheetFormatPr defaultRowHeight="14.4" x14ac:dyDescent="0.3"/>
  <cols>
    <col min="1" max="1" width="19" bestFit="1" customWidth="1"/>
    <col min="2" max="2" width="36.44140625" bestFit="1" customWidth="1"/>
    <col min="3" max="3" width="9.44140625" bestFit="1" customWidth="1"/>
    <col min="4" max="4" width="2" bestFit="1" customWidth="1"/>
    <col min="5" max="5" width="22.88671875" bestFit="1" customWidth="1"/>
    <col min="6" max="6" width="14.33203125" bestFit="1" customWidth="1"/>
    <col min="7" max="7" width="13" bestFit="1" customWidth="1"/>
    <col min="8" max="8" width="12.5546875" bestFit="1" customWidth="1"/>
    <col min="9" max="9" width="7.33203125" bestFit="1" customWidth="1"/>
    <col min="10" max="10" width="2" bestFit="1" customWidth="1"/>
    <col min="11" max="11" width="20.5546875" bestFit="1" customWidth="1"/>
    <col min="12" max="12" width="14.33203125" bestFit="1" customWidth="1"/>
    <col min="13" max="14" width="12.5546875" bestFit="1" customWidth="1"/>
    <col min="15" max="15" width="7.33203125" bestFit="1" customWidth="1"/>
    <col min="16" max="16" width="2" bestFit="1" customWidth="1"/>
    <col min="17" max="17" width="17.88671875" bestFit="1" customWidth="1"/>
    <col min="18" max="18" width="12.33203125" bestFit="1" customWidth="1"/>
    <col min="19" max="20" width="10.6640625" bestFit="1" customWidth="1"/>
    <col min="21" max="21" width="7.33203125" bestFit="1" customWidth="1"/>
    <col min="22" max="22" width="2" bestFit="1" customWidth="1"/>
    <col min="23" max="23" width="23" bestFit="1" customWidth="1"/>
    <col min="24" max="24" width="42.88671875" bestFit="1" customWidth="1"/>
    <col min="25" max="25" width="22.109375" bestFit="1" customWidth="1"/>
  </cols>
  <sheetData>
    <row r="1" spans="1:25" x14ac:dyDescent="0.3">
      <c r="X1" t="s">
        <v>482</v>
      </c>
    </row>
    <row r="2" spans="1:25" x14ac:dyDescent="0.3">
      <c r="Q2" s="12">
        <f>SUBTOTAL(9,Q4:Q186)</f>
        <v>-210260.42000000048</v>
      </c>
      <c r="R2" s="12">
        <f>SUBTOTAL(9,R4:R186)</f>
        <v>18415.339999998629</v>
      </c>
      <c r="S2" s="12">
        <f>SUBTOTAL(9,S4:S186)</f>
        <v>-28128.490000000013</v>
      </c>
      <c r="T2" s="12">
        <f>SUBTOTAL(9,T4:T186)</f>
        <v>-28128.490000000013</v>
      </c>
      <c r="U2" s="12"/>
      <c r="V2" s="12"/>
    </row>
    <row r="3" spans="1:25" x14ac:dyDescent="0.3">
      <c r="E3" s="40" t="s">
        <v>14</v>
      </c>
      <c r="F3" s="41"/>
      <c r="G3" s="41"/>
      <c r="H3" s="41"/>
      <c r="I3" s="42"/>
      <c r="J3" s="14"/>
      <c r="K3" s="40" t="s">
        <v>15</v>
      </c>
      <c r="L3" s="41"/>
      <c r="M3" s="41"/>
      <c r="N3" s="41"/>
      <c r="O3" s="42"/>
      <c r="P3" s="14"/>
      <c r="Q3" s="43" t="s">
        <v>16</v>
      </c>
      <c r="R3" s="43"/>
      <c r="S3" s="43"/>
      <c r="T3" s="43"/>
      <c r="U3" s="43"/>
      <c r="V3" s="15"/>
    </row>
    <row r="4" spans="1:25" x14ac:dyDescent="0.3">
      <c r="A4" s="16" t="s">
        <v>17</v>
      </c>
      <c r="B4" s="16" t="s">
        <v>18</v>
      </c>
      <c r="C4" s="16" t="s">
        <v>19</v>
      </c>
      <c r="D4" s="16">
        <v>0</v>
      </c>
      <c r="E4" s="17" t="s">
        <v>20</v>
      </c>
      <c r="F4" s="17" t="s">
        <v>21</v>
      </c>
      <c r="G4" s="17" t="s">
        <v>22</v>
      </c>
      <c r="H4" s="17" t="s">
        <v>23</v>
      </c>
      <c r="I4" s="17" t="s">
        <v>13</v>
      </c>
      <c r="J4" s="17">
        <v>0</v>
      </c>
      <c r="K4" s="17" t="s">
        <v>24</v>
      </c>
      <c r="L4" s="17" t="s">
        <v>25</v>
      </c>
      <c r="M4" s="17" t="s">
        <v>26</v>
      </c>
      <c r="N4" s="17" t="s">
        <v>27</v>
      </c>
      <c r="O4" s="17" t="s">
        <v>13</v>
      </c>
      <c r="P4" s="17">
        <v>0</v>
      </c>
      <c r="Q4" s="17" t="s">
        <v>28</v>
      </c>
      <c r="R4" s="17" t="s">
        <v>10</v>
      </c>
      <c r="S4" s="17" t="s">
        <v>11</v>
      </c>
      <c r="T4" s="17" t="s">
        <v>12</v>
      </c>
      <c r="U4" s="17" t="s">
        <v>13</v>
      </c>
      <c r="V4">
        <v>0</v>
      </c>
      <c r="W4" t="s">
        <v>31</v>
      </c>
      <c r="X4" s="18"/>
      <c r="Y4" s="19" t="s">
        <v>484</v>
      </c>
    </row>
    <row r="5" spans="1:25" x14ac:dyDescent="0.3">
      <c r="A5" s="18" t="s">
        <v>77</v>
      </c>
      <c r="B5" s="18" t="s">
        <v>401</v>
      </c>
      <c r="C5" s="18"/>
      <c r="D5" s="18"/>
      <c r="E5" s="20">
        <f>SUMIF(Book!$G:$G,$B5,Book!J:J)</f>
        <v>42.03</v>
      </c>
      <c r="F5" s="20">
        <f>SUMIF(Book!$G:$G,$B5,Book!L:L)</f>
        <v>7.57</v>
      </c>
      <c r="G5" s="20">
        <f>SUMIF(Book!$G:$G,$B5,Book!M:M)</f>
        <v>0</v>
      </c>
      <c r="H5" s="20">
        <f>SUMIF(Book!$G:$G,$B5,Book!N:N)</f>
        <v>0</v>
      </c>
      <c r="I5" s="20">
        <f>SUMIF(Book!$G:$G,$B5,Book!O:O)</f>
        <v>0</v>
      </c>
      <c r="J5" s="18"/>
      <c r="K5" s="20">
        <f>SUMIF('GSTR-2B'!$G:$G,$B5,'GSTR-2B'!J:J)</f>
        <v>42.03</v>
      </c>
      <c r="L5" s="20">
        <f>SUMIF('GSTR-2B'!$G:$G,$B5,'GSTR-2B'!L:L)</f>
        <v>7.57</v>
      </c>
      <c r="M5" s="20">
        <f>SUMIF('GSTR-2B'!$G:$G,$B5,'GSTR-2B'!M:M)</f>
        <v>0</v>
      </c>
      <c r="N5" s="20">
        <f>SUMIF('GSTR-2B'!$G:$G,$B5,'GSTR-2B'!N:N)</f>
        <v>0</v>
      </c>
      <c r="O5" s="20">
        <f>SUMIF('GSTR-2B'!$G:$G,$B5,'GSTR-2B'!O:O)</f>
        <v>0</v>
      </c>
      <c r="P5" s="20"/>
      <c r="Q5" s="20">
        <f t="shared" ref="Q5:Q36" si="0">+E5-K5</f>
        <v>0</v>
      </c>
      <c r="R5" s="20">
        <f t="shared" ref="R5:R36" si="1">+F5-L5</f>
        <v>0</v>
      </c>
      <c r="S5" s="20">
        <f t="shared" ref="S5:S36" si="2">+G5-M5</f>
        <v>0</v>
      </c>
      <c r="T5" s="20">
        <f t="shared" ref="T5:T36" si="3">+H5-N5</f>
        <v>0</v>
      </c>
      <c r="U5" s="20">
        <f>SUMIF('GSTR-2B'!$G:$G,$B5,'GSTR-2B'!U:U)</f>
        <v>0</v>
      </c>
      <c r="V5" s="21"/>
      <c r="W5" s="22" t="str">
        <f>VLOOKUP(A5,'GST Wise Reco'!$A$3:$T$34,20,0)</f>
        <v>Book And 2B Match</v>
      </c>
      <c r="X5" t="s">
        <v>29</v>
      </c>
      <c r="Y5" t="s">
        <v>29</v>
      </c>
    </row>
    <row r="6" spans="1:25" x14ac:dyDescent="0.3">
      <c r="A6" s="18" t="s">
        <v>77</v>
      </c>
      <c r="B6" s="18" t="s">
        <v>402</v>
      </c>
      <c r="C6" s="18"/>
      <c r="D6" s="18"/>
      <c r="E6" s="20">
        <f>SUMIF(Book!$G:$G,$B6,Book!J:J)</f>
        <v>44.58</v>
      </c>
      <c r="F6" s="20">
        <f>SUMIF(Book!$G:$G,$B6,Book!L:L)</f>
        <v>8.02</v>
      </c>
      <c r="G6" s="20">
        <f>SUMIF(Book!$G:$G,$B6,Book!M:M)</f>
        <v>0</v>
      </c>
      <c r="H6" s="20">
        <f>SUMIF(Book!$G:$G,$B6,Book!N:N)</f>
        <v>0</v>
      </c>
      <c r="I6" s="20">
        <f>SUMIF(Book!$G:$G,$B6,Book!O:O)</f>
        <v>0</v>
      </c>
      <c r="J6" s="18"/>
      <c r="K6" s="20">
        <f>SUMIF('GSTR-2B'!$G:$G,$B6,'GSTR-2B'!J:J)</f>
        <v>44.58</v>
      </c>
      <c r="L6" s="20">
        <f>SUMIF('GSTR-2B'!$G:$G,$B6,'GSTR-2B'!L:L)</f>
        <v>8.02</v>
      </c>
      <c r="M6" s="20">
        <f>SUMIF('GSTR-2B'!$G:$G,$B6,'GSTR-2B'!M:M)</f>
        <v>0</v>
      </c>
      <c r="N6" s="20">
        <f>SUMIF('GSTR-2B'!$G:$G,$B6,'GSTR-2B'!N:N)</f>
        <v>0</v>
      </c>
      <c r="O6" s="20">
        <f>SUMIF('GSTR-2B'!$G:$G,$B6,'GSTR-2B'!O:O)</f>
        <v>0</v>
      </c>
      <c r="P6" s="20"/>
      <c r="Q6" s="20">
        <f t="shared" si="0"/>
        <v>0</v>
      </c>
      <c r="R6" s="20">
        <f t="shared" si="1"/>
        <v>0</v>
      </c>
      <c r="S6" s="20">
        <f t="shared" si="2"/>
        <v>0</v>
      </c>
      <c r="T6" s="20">
        <f t="shared" si="3"/>
        <v>0</v>
      </c>
      <c r="U6" s="20">
        <f>SUMIF('GSTR-2B'!$G:$G,$B6,'GSTR-2B'!U:U)</f>
        <v>0</v>
      </c>
      <c r="V6" s="21"/>
      <c r="W6" s="22" t="str">
        <f>VLOOKUP(A6,'GST Wise Reco'!$A$3:$T$34,20,0)</f>
        <v>Book And 2B Match</v>
      </c>
      <c r="X6" t="s">
        <v>29</v>
      </c>
      <c r="Y6" t="s">
        <v>29</v>
      </c>
    </row>
    <row r="7" spans="1:25" x14ac:dyDescent="0.3">
      <c r="A7" s="18" t="s">
        <v>77</v>
      </c>
      <c r="B7" s="18" t="s">
        <v>403</v>
      </c>
      <c r="C7" s="18"/>
      <c r="D7" s="18"/>
      <c r="E7" s="20">
        <f>SUMIF(Book!$G:$G,$B7,Book!J:J)</f>
        <v>40.56</v>
      </c>
      <c r="F7" s="20">
        <f>SUMIF(Book!$G:$G,$B7,Book!L:L)</f>
        <v>7.3</v>
      </c>
      <c r="G7" s="20">
        <f>SUMIF(Book!$G:$G,$B7,Book!M:M)</f>
        <v>0</v>
      </c>
      <c r="H7" s="20">
        <f>SUMIF(Book!$G:$G,$B7,Book!N:N)</f>
        <v>0</v>
      </c>
      <c r="I7" s="20">
        <f>SUMIF(Book!$G:$G,$B7,Book!O:O)</f>
        <v>0</v>
      </c>
      <c r="J7" s="18"/>
      <c r="K7" s="20">
        <f>SUMIF('GSTR-2B'!$G:$G,$B7,'GSTR-2B'!J:J)</f>
        <v>40.56</v>
      </c>
      <c r="L7" s="20">
        <f>SUMIF('GSTR-2B'!$G:$G,$B7,'GSTR-2B'!L:L)</f>
        <v>7.3</v>
      </c>
      <c r="M7" s="20">
        <f>SUMIF('GSTR-2B'!$G:$G,$B7,'GSTR-2B'!M:M)</f>
        <v>0</v>
      </c>
      <c r="N7" s="20">
        <f>SUMIF('GSTR-2B'!$G:$G,$B7,'GSTR-2B'!N:N)</f>
        <v>0</v>
      </c>
      <c r="O7" s="20">
        <f>SUMIF('GSTR-2B'!$G:$G,$B7,'GSTR-2B'!O:O)</f>
        <v>0</v>
      </c>
      <c r="P7" s="20"/>
      <c r="Q7" s="20">
        <f t="shared" si="0"/>
        <v>0</v>
      </c>
      <c r="R7" s="20">
        <f t="shared" si="1"/>
        <v>0</v>
      </c>
      <c r="S7" s="20">
        <f t="shared" si="2"/>
        <v>0</v>
      </c>
      <c r="T7" s="20">
        <f t="shared" si="3"/>
        <v>0</v>
      </c>
      <c r="U7" s="20">
        <f>SUMIF('GSTR-2B'!$G:$G,$B7,'GSTR-2B'!U:U)</f>
        <v>0</v>
      </c>
      <c r="V7" s="21"/>
      <c r="W7" s="22" t="str">
        <f>VLOOKUP(A7,'GST Wise Reco'!$A$3:$T$34,20,0)</f>
        <v>Book And 2B Match</v>
      </c>
      <c r="X7" t="s">
        <v>29</v>
      </c>
      <c r="Y7" t="s">
        <v>29</v>
      </c>
    </row>
    <row r="8" spans="1:25" x14ac:dyDescent="0.3">
      <c r="A8" s="18" t="s">
        <v>77</v>
      </c>
      <c r="B8" s="18" t="s">
        <v>404</v>
      </c>
      <c r="C8" s="18"/>
      <c r="D8" s="18"/>
      <c r="E8" s="20">
        <f>SUMIF(Book!$G:$G,$B8,Book!J:J)</f>
        <v>45.64</v>
      </c>
      <c r="F8" s="20">
        <f>SUMIF(Book!$G:$G,$B8,Book!L:L)</f>
        <v>8.2200000000000006</v>
      </c>
      <c r="G8" s="20">
        <f>SUMIF(Book!$G:$G,$B8,Book!M:M)</f>
        <v>0</v>
      </c>
      <c r="H8" s="20">
        <f>SUMIF(Book!$G:$G,$B8,Book!N:N)</f>
        <v>0</v>
      </c>
      <c r="I8" s="20">
        <f>SUMIF(Book!$G:$G,$B8,Book!O:O)</f>
        <v>0</v>
      </c>
      <c r="J8" s="18"/>
      <c r="K8" s="20">
        <f>SUMIF('GSTR-2B'!$G:$G,$B8,'GSTR-2B'!J:J)</f>
        <v>45.64</v>
      </c>
      <c r="L8" s="20">
        <f>SUMIF('GSTR-2B'!$G:$G,$B8,'GSTR-2B'!L:L)</f>
        <v>8.2200000000000006</v>
      </c>
      <c r="M8" s="20">
        <f>SUMIF('GSTR-2B'!$G:$G,$B8,'GSTR-2B'!M:M)</f>
        <v>0</v>
      </c>
      <c r="N8" s="20">
        <f>SUMIF('GSTR-2B'!$G:$G,$B8,'GSTR-2B'!N:N)</f>
        <v>0</v>
      </c>
      <c r="O8" s="20">
        <f>SUMIF('GSTR-2B'!$G:$G,$B8,'GSTR-2B'!O:O)</f>
        <v>0</v>
      </c>
      <c r="P8" s="20"/>
      <c r="Q8" s="20">
        <f t="shared" si="0"/>
        <v>0</v>
      </c>
      <c r="R8" s="20">
        <f t="shared" si="1"/>
        <v>0</v>
      </c>
      <c r="S8" s="20">
        <f t="shared" si="2"/>
        <v>0</v>
      </c>
      <c r="T8" s="20">
        <f t="shared" si="3"/>
        <v>0</v>
      </c>
      <c r="U8" s="20">
        <f>SUMIF('GSTR-2B'!$G:$G,$B8,'GSTR-2B'!U:U)</f>
        <v>0</v>
      </c>
      <c r="V8" s="21"/>
      <c r="W8" s="22" t="str">
        <f>VLOOKUP(A8,'GST Wise Reco'!$A$3:$T$34,20,0)</f>
        <v>Book And 2B Match</v>
      </c>
      <c r="X8" t="s">
        <v>29</v>
      </c>
      <c r="Y8" t="s">
        <v>29</v>
      </c>
    </row>
    <row r="9" spans="1:25" x14ac:dyDescent="0.3">
      <c r="A9" s="18" t="s">
        <v>77</v>
      </c>
      <c r="B9" s="18" t="s">
        <v>407</v>
      </c>
      <c r="C9" s="18"/>
      <c r="D9" s="18"/>
      <c r="E9" s="20">
        <f>SUMIF(Book!$G:$G,$B9,Book!J:J)</f>
        <v>42.57</v>
      </c>
      <c r="F9" s="20">
        <f>SUMIF(Book!$G:$G,$B9,Book!L:L)</f>
        <v>7.66</v>
      </c>
      <c r="G9" s="20">
        <f>SUMIF(Book!$G:$G,$B9,Book!M:M)</f>
        <v>0</v>
      </c>
      <c r="H9" s="20">
        <f>SUMIF(Book!$G:$G,$B9,Book!N:N)</f>
        <v>0</v>
      </c>
      <c r="I9" s="20">
        <f>SUMIF(Book!$G:$G,$B9,Book!O:O)</f>
        <v>0</v>
      </c>
      <c r="J9" s="18"/>
      <c r="K9" s="20">
        <f>SUMIF('GSTR-2B'!$G:$G,$B9,'GSTR-2B'!J:J)</f>
        <v>42.57</v>
      </c>
      <c r="L9" s="20">
        <f>SUMIF('GSTR-2B'!$G:$G,$B9,'GSTR-2B'!L:L)</f>
        <v>7.66</v>
      </c>
      <c r="M9" s="20">
        <f>SUMIF('GSTR-2B'!$G:$G,$B9,'GSTR-2B'!M:M)</f>
        <v>0</v>
      </c>
      <c r="N9" s="20">
        <f>SUMIF('GSTR-2B'!$G:$G,$B9,'GSTR-2B'!N:N)</f>
        <v>0</v>
      </c>
      <c r="O9" s="20">
        <f>SUMIF('GSTR-2B'!$G:$G,$B9,'GSTR-2B'!O:O)</f>
        <v>0</v>
      </c>
      <c r="P9" s="20"/>
      <c r="Q9" s="20">
        <f t="shared" si="0"/>
        <v>0</v>
      </c>
      <c r="R9" s="20">
        <f t="shared" si="1"/>
        <v>0</v>
      </c>
      <c r="S9" s="20">
        <f t="shared" si="2"/>
        <v>0</v>
      </c>
      <c r="T9" s="20">
        <f t="shared" si="3"/>
        <v>0</v>
      </c>
      <c r="U9" s="20">
        <f>SUMIF('GSTR-2B'!$G:$G,$B9,'GSTR-2B'!U:U)</f>
        <v>0</v>
      </c>
      <c r="V9" s="21"/>
      <c r="W9" s="22" t="str">
        <f>VLOOKUP(A9,'GST Wise Reco'!$A$3:$T$34,20,0)</f>
        <v>Book And 2B Match</v>
      </c>
      <c r="X9" t="s">
        <v>29</v>
      </c>
      <c r="Y9" t="s">
        <v>29</v>
      </c>
    </row>
    <row r="10" spans="1:25" x14ac:dyDescent="0.3">
      <c r="A10" s="18" t="s">
        <v>77</v>
      </c>
      <c r="B10" s="18" t="s">
        <v>408</v>
      </c>
      <c r="C10" s="18"/>
      <c r="D10" s="18"/>
      <c r="E10" s="20">
        <f>SUMIF(Book!$G:$G,$B10,Book!J:J)</f>
        <v>43.09</v>
      </c>
      <c r="F10" s="20">
        <f>SUMIF(Book!$G:$G,$B10,Book!L:L)</f>
        <v>7.76</v>
      </c>
      <c r="G10" s="20">
        <f>SUMIF(Book!$G:$G,$B10,Book!M:M)</f>
        <v>0</v>
      </c>
      <c r="H10" s="20">
        <f>SUMIF(Book!$G:$G,$B10,Book!N:N)</f>
        <v>0</v>
      </c>
      <c r="I10" s="20">
        <f>SUMIF(Book!$G:$G,$B10,Book!O:O)</f>
        <v>0</v>
      </c>
      <c r="J10" s="18"/>
      <c r="K10" s="20">
        <f>SUMIF('GSTR-2B'!$G:$G,$B10,'GSTR-2B'!J:J)</f>
        <v>43.09</v>
      </c>
      <c r="L10" s="20">
        <f>SUMIF('GSTR-2B'!$G:$G,$B10,'GSTR-2B'!L:L)</f>
        <v>7.76</v>
      </c>
      <c r="M10" s="20">
        <f>SUMIF('GSTR-2B'!$G:$G,$B10,'GSTR-2B'!M:M)</f>
        <v>0</v>
      </c>
      <c r="N10" s="20">
        <f>SUMIF('GSTR-2B'!$G:$G,$B10,'GSTR-2B'!N:N)</f>
        <v>0</v>
      </c>
      <c r="O10" s="20">
        <f>SUMIF('GSTR-2B'!$G:$G,$B10,'GSTR-2B'!O:O)</f>
        <v>0</v>
      </c>
      <c r="P10" s="20"/>
      <c r="Q10" s="20">
        <f t="shared" si="0"/>
        <v>0</v>
      </c>
      <c r="R10" s="20">
        <f t="shared" si="1"/>
        <v>0</v>
      </c>
      <c r="S10" s="20">
        <f t="shared" si="2"/>
        <v>0</v>
      </c>
      <c r="T10" s="20">
        <f t="shared" si="3"/>
        <v>0</v>
      </c>
      <c r="U10" s="20">
        <f>SUMIF('GSTR-2B'!$G:$G,$B10,'GSTR-2B'!U:U)</f>
        <v>0</v>
      </c>
      <c r="V10" s="21"/>
      <c r="W10" s="22" t="str">
        <f>VLOOKUP(A10,'GST Wise Reco'!$A$3:$T$34,20,0)</f>
        <v>Book And 2B Match</v>
      </c>
      <c r="X10" t="s">
        <v>29</v>
      </c>
      <c r="Y10" t="s">
        <v>29</v>
      </c>
    </row>
    <row r="11" spans="1:25" x14ac:dyDescent="0.3">
      <c r="A11" s="18" t="s">
        <v>77</v>
      </c>
      <c r="B11" s="18" t="s">
        <v>409</v>
      </c>
      <c r="C11" s="18"/>
      <c r="D11" s="18"/>
      <c r="E11" s="20">
        <f>SUMIF(Book!$G:$G,$B11,Book!J:J)</f>
        <v>35.39</v>
      </c>
      <c r="F11" s="20">
        <f>SUMIF(Book!$G:$G,$B11,Book!L:L)</f>
        <v>6.37</v>
      </c>
      <c r="G11" s="20">
        <f>SUMIF(Book!$G:$G,$B11,Book!M:M)</f>
        <v>0</v>
      </c>
      <c r="H11" s="20">
        <f>SUMIF(Book!$G:$G,$B11,Book!N:N)</f>
        <v>0</v>
      </c>
      <c r="I11" s="20">
        <f>SUMIF(Book!$G:$G,$B11,Book!O:O)</f>
        <v>0</v>
      </c>
      <c r="J11" s="18"/>
      <c r="K11" s="20">
        <f>SUMIF('GSTR-2B'!$G:$G,$B11,'GSTR-2B'!J:J)</f>
        <v>35.39</v>
      </c>
      <c r="L11" s="20">
        <f>SUMIF('GSTR-2B'!$G:$G,$B11,'GSTR-2B'!L:L)</f>
        <v>6.37</v>
      </c>
      <c r="M11" s="20">
        <f>SUMIF('GSTR-2B'!$G:$G,$B11,'GSTR-2B'!M:M)</f>
        <v>0</v>
      </c>
      <c r="N11" s="20">
        <f>SUMIF('GSTR-2B'!$G:$G,$B11,'GSTR-2B'!N:N)</f>
        <v>0</v>
      </c>
      <c r="O11" s="20">
        <f>SUMIF('GSTR-2B'!$G:$G,$B11,'GSTR-2B'!O:O)</f>
        <v>0</v>
      </c>
      <c r="P11" s="20"/>
      <c r="Q11" s="20">
        <f t="shared" si="0"/>
        <v>0</v>
      </c>
      <c r="R11" s="20">
        <f t="shared" si="1"/>
        <v>0</v>
      </c>
      <c r="S11" s="20">
        <f t="shared" si="2"/>
        <v>0</v>
      </c>
      <c r="T11" s="20">
        <f t="shared" si="3"/>
        <v>0</v>
      </c>
      <c r="U11" s="20">
        <f>SUMIF('GSTR-2B'!$G:$G,$B11,'GSTR-2B'!U:U)</f>
        <v>0</v>
      </c>
      <c r="V11" s="21"/>
      <c r="W11" s="22" t="str">
        <f>VLOOKUP(A11,'GST Wise Reco'!$A$3:$T$34,20,0)</f>
        <v>Book And 2B Match</v>
      </c>
      <c r="X11" t="s">
        <v>29</v>
      </c>
      <c r="Y11" t="s">
        <v>29</v>
      </c>
    </row>
    <row r="12" spans="1:25" x14ac:dyDescent="0.3">
      <c r="A12" s="18" t="s">
        <v>77</v>
      </c>
      <c r="B12" s="18" t="s">
        <v>410</v>
      </c>
      <c r="C12" s="18"/>
      <c r="D12" s="18"/>
      <c r="E12" s="20">
        <f>SUMIF(Book!$G:$G,$B12,Book!J:J)</f>
        <v>49.12</v>
      </c>
      <c r="F12" s="20">
        <f>SUMIF(Book!$G:$G,$B12,Book!L:L)</f>
        <v>8.84</v>
      </c>
      <c r="G12" s="20">
        <f>SUMIF(Book!$G:$G,$B12,Book!M:M)</f>
        <v>0</v>
      </c>
      <c r="H12" s="20">
        <f>SUMIF(Book!$G:$G,$B12,Book!N:N)</f>
        <v>0</v>
      </c>
      <c r="I12" s="20">
        <f>SUMIF(Book!$G:$G,$B12,Book!O:O)</f>
        <v>0</v>
      </c>
      <c r="J12" s="18"/>
      <c r="K12" s="20">
        <f>SUMIF('GSTR-2B'!$G:$G,$B12,'GSTR-2B'!J:J)</f>
        <v>49.12</v>
      </c>
      <c r="L12" s="20">
        <f>SUMIF('GSTR-2B'!$G:$G,$B12,'GSTR-2B'!L:L)</f>
        <v>8.84</v>
      </c>
      <c r="M12" s="20">
        <f>SUMIF('GSTR-2B'!$G:$G,$B12,'GSTR-2B'!M:M)</f>
        <v>0</v>
      </c>
      <c r="N12" s="20">
        <f>SUMIF('GSTR-2B'!$G:$G,$B12,'GSTR-2B'!N:N)</f>
        <v>0</v>
      </c>
      <c r="O12" s="20">
        <f>SUMIF('GSTR-2B'!$G:$G,$B12,'GSTR-2B'!O:O)</f>
        <v>0</v>
      </c>
      <c r="P12" s="20"/>
      <c r="Q12" s="20">
        <f t="shared" si="0"/>
        <v>0</v>
      </c>
      <c r="R12" s="20">
        <f t="shared" si="1"/>
        <v>0</v>
      </c>
      <c r="S12" s="20">
        <f t="shared" si="2"/>
        <v>0</v>
      </c>
      <c r="T12" s="20">
        <f t="shared" si="3"/>
        <v>0</v>
      </c>
      <c r="U12" s="20">
        <f>SUMIF('GSTR-2B'!$G:$G,$B12,'GSTR-2B'!U:U)</f>
        <v>0</v>
      </c>
      <c r="V12" s="21"/>
      <c r="W12" s="22" t="str">
        <f>VLOOKUP(A12,'GST Wise Reco'!$A$3:$T$34,20,0)</f>
        <v>Book And 2B Match</v>
      </c>
      <c r="X12" t="s">
        <v>29</v>
      </c>
      <c r="Y12" t="s">
        <v>29</v>
      </c>
    </row>
    <row r="13" spans="1:25" x14ac:dyDescent="0.3">
      <c r="A13" s="18" t="s">
        <v>77</v>
      </c>
      <c r="B13" s="18" t="s">
        <v>411</v>
      </c>
      <c r="C13" s="18"/>
      <c r="D13" s="18"/>
      <c r="E13" s="20">
        <f>SUMIF(Book!$G:$G,$B13,Book!J:J)</f>
        <v>0.04</v>
      </c>
      <c r="F13" s="20">
        <f>SUMIF(Book!$G:$G,$B13,Book!L:L)</f>
        <v>0.01</v>
      </c>
      <c r="G13" s="20">
        <f>SUMIF(Book!$G:$G,$B13,Book!M:M)</f>
        <v>0</v>
      </c>
      <c r="H13" s="20">
        <f>SUMIF(Book!$G:$G,$B13,Book!N:N)</f>
        <v>0</v>
      </c>
      <c r="I13" s="20">
        <f>SUMIF(Book!$G:$G,$B13,Book!O:O)</f>
        <v>0</v>
      </c>
      <c r="J13" s="18"/>
      <c r="K13" s="20">
        <f>SUMIF('GSTR-2B'!$G:$G,$B13,'GSTR-2B'!J:J)</f>
        <v>0.04</v>
      </c>
      <c r="L13" s="20">
        <f>SUMIF('GSTR-2B'!$G:$G,$B13,'GSTR-2B'!L:L)</f>
        <v>0.01</v>
      </c>
      <c r="M13" s="20">
        <f>SUMIF('GSTR-2B'!$G:$G,$B13,'GSTR-2B'!M:M)</f>
        <v>0</v>
      </c>
      <c r="N13" s="20">
        <f>SUMIF('GSTR-2B'!$G:$G,$B13,'GSTR-2B'!N:N)</f>
        <v>0</v>
      </c>
      <c r="O13" s="20">
        <f>SUMIF('GSTR-2B'!$G:$G,$B13,'GSTR-2B'!O:O)</f>
        <v>0</v>
      </c>
      <c r="P13" s="20"/>
      <c r="Q13" s="20">
        <f t="shared" si="0"/>
        <v>0</v>
      </c>
      <c r="R13" s="20">
        <f t="shared" si="1"/>
        <v>0</v>
      </c>
      <c r="S13" s="20">
        <f t="shared" si="2"/>
        <v>0</v>
      </c>
      <c r="T13" s="20">
        <f t="shared" si="3"/>
        <v>0</v>
      </c>
      <c r="U13" s="20">
        <f>SUMIF('GSTR-2B'!$G:$G,$B13,'GSTR-2B'!U:U)</f>
        <v>0</v>
      </c>
      <c r="V13" s="21"/>
      <c r="W13" s="22" t="str">
        <f>VLOOKUP(A13,'GST Wise Reco'!$A$3:$T$34,20,0)</f>
        <v>Book And 2B Match</v>
      </c>
      <c r="X13" t="s">
        <v>29</v>
      </c>
      <c r="Y13" t="s">
        <v>29</v>
      </c>
    </row>
    <row r="14" spans="1:25" x14ac:dyDescent="0.3">
      <c r="A14" s="18" t="s">
        <v>77</v>
      </c>
      <c r="B14" s="18" t="s">
        <v>412</v>
      </c>
      <c r="C14" s="18"/>
      <c r="D14" s="18"/>
      <c r="E14" s="20">
        <f>SUMIF(Book!$G:$G,$B14,Book!J:J)</f>
        <v>40.24</v>
      </c>
      <c r="F14" s="20">
        <f>SUMIF(Book!$G:$G,$B14,Book!L:L)</f>
        <v>7.24</v>
      </c>
      <c r="G14" s="20">
        <f>SUMIF(Book!$G:$G,$B14,Book!M:M)</f>
        <v>0</v>
      </c>
      <c r="H14" s="20">
        <f>SUMIF(Book!$G:$G,$B14,Book!N:N)</f>
        <v>0</v>
      </c>
      <c r="I14" s="20">
        <f>SUMIF(Book!$G:$G,$B14,Book!O:O)</f>
        <v>0</v>
      </c>
      <c r="J14" s="18"/>
      <c r="K14" s="20">
        <f>SUMIF('GSTR-2B'!$G:$G,$B14,'GSTR-2B'!J:J)</f>
        <v>40.24</v>
      </c>
      <c r="L14" s="20">
        <f>SUMIF('GSTR-2B'!$G:$G,$B14,'GSTR-2B'!L:L)</f>
        <v>7.24</v>
      </c>
      <c r="M14" s="20">
        <f>SUMIF('GSTR-2B'!$G:$G,$B14,'GSTR-2B'!M:M)</f>
        <v>0</v>
      </c>
      <c r="N14" s="20">
        <f>SUMIF('GSTR-2B'!$G:$G,$B14,'GSTR-2B'!N:N)</f>
        <v>0</v>
      </c>
      <c r="O14" s="20">
        <f>SUMIF('GSTR-2B'!$G:$G,$B14,'GSTR-2B'!O:O)</f>
        <v>0</v>
      </c>
      <c r="P14" s="20"/>
      <c r="Q14" s="20">
        <f t="shared" si="0"/>
        <v>0</v>
      </c>
      <c r="R14" s="20">
        <f t="shared" si="1"/>
        <v>0</v>
      </c>
      <c r="S14" s="20">
        <f t="shared" si="2"/>
        <v>0</v>
      </c>
      <c r="T14" s="20">
        <f t="shared" si="3"/>
        <v>0</v>
      </c>
      <c r="U14" s="20">
        <f>SUMIF('GSTR-2B'!$G:$G,$B14,'GSTR-2B'!U:U)</f>
        <v>0</v>
      </c>
      <c r="V14" s="21"/>
      <c r="W14" s="22" t="str">
        <f>VLOOKUP(A14,'GST Wise Reco'!$A$3:$T$34,20,0)</f>
        <v>Book And 2B Match</v>
      </c>
      <c r="X14" t="s">
        <v>29</v>
      </c>
      <c r="Y14" t="s">
        <v>29</v>
      </c>
    </row>
    <row r="15" spans="1:25" x14ac:dyDescent="0.3">
      <c r="A15" s="18" t="s">
        <v>77</v>
      </c>
      <c r="B15" s="18" t="s">
        <v>413</v>
      </c>
      <c r="C15" s="18"/>
      <c r="D15" s="18"/>
      <c r="E15" s="20">
        <f>SUMIF(Book!$G:$G,$B15,Book!J:J)</f>
        <v>44.63</v>
      </c>
      <c r="F15" s="20">
        <f>SUMIF(Book!$G:$G,$B15,Book!L:L)</f>
        <v>8.0299999999999994</v>
      </c>
      <c r="G15" s="20">
        <f>SUMIF(Book!$G:$G,$B15,Book!M:M)</f>
        <v>0</v>
      </c>
      <c r="H15" s="20">
        <f>SUMIF(Book!$G:$G,$B15,Book!N:N)</f>
        <v>0</v>
      </c>
      <c r="I15" s="20">
        <f>SUMIF(Book!$G:$G,$B15,Book!O:O)</f>
        <v>0</v>
      </c>
      <c r="J15" s="18"/>
      <c r="K15" s="20">
        <f>SUMIF('GSTR-2B'!$G:$G,$B15,'GSTR-2B'!J:J)</f>
        <v>44.63</v>
      </c>
      <c r="L15" s="20">
        <f>SUMIF('GSTR-2B'!$G:$G,$B15,'GSTR-2B'!L:L)</f>
        <v>8.0299999999999994</v>
      </c>
      <c r="M15" s="20">
        <f>SUMIF('GSTR-2B'!$G:$G,$B15,'GSTR-2B'!M:M)</f>
        <v>0</v>
      </c>
      <c r="N15" s="20">
        <f>SUMIF('GSTR-2B'!$G:$G,$B15,'GSTR-2B'!N:N)</f>
        <v>0</v>
      </c>
      <c r="O15" s="20">
        <f>SUMIF('GSTR-2B'!$G:$G,$B15,'GSTR-2B'!O:O)</f>
        <v>0</v>
      </c>
      <c r="P15" s="20"/>
      <c r="Q15" s="20">
        <f t="shared" si="0"/>
        <v>0</v>
      </c>
      <c r="R15" s="20">
        <f t="shared" si="1"/>
        <v>0</v>
      </c>
      <c r="S15" s="20">
        <f t="shared" si="2"/>
        <v>0</v>
      </c>
      <c r="T15" s="20">
        <f t="shared" si="3"/>
        <v>0</v>
      </c>
      <c r="U15" s="20">
        <f>SUMIF('GSTR-2B'!$G:$G,$B15,'GSTR-2B'!U:U)</f>
        <v>0</v>
      </c>
      <c r="V15" s="21"/>
      <c r="W15" s="22" t="str">
        <f>VLOOKUP(A15,'GST Wise Reco'!$A$3:$T$34,20,0)</f>
        <v>Book And 2B Match</v>
      </c>
      <c r="X15" t="s">
        <v>29</v>
      </c>
      <c r="Y15" t="s">
        <v>29</v>
      </c>
    </row>
    <row r="16" spans="1:25" x14ac:dyDescent="0.3">
      <c r="A16" s="18" t="s">
        <v>77</v>
      </c>
      <c r="B16" s="18" t="s">
        <v>416</v>
      </c>
      <c r="C16" s="18"/>
      <c r="D16" s="18"/>
      <c r="E16" s="20">
        <f>SUMIF(Book!$G:$G,$B16,Book!J:J)</f>
        <v>40.81</v>
      </c>
      <c r="F16" s="20">
        <f>SUMIF(Book!$G:$G,$B16,Book!L:L)</f>
        <v>7.35</v>
      </c>
      <c r="G16" s="20">
        <f>SUMIF(Book!$G:$G,$B16,Book!M:M)</f>
        <v>0</v>
      </c>
      <c r="H16" s="20">
        <f>SUMIF(Book!$G:$G,$B16,Book!N:N)</f>
        <v>0</v>
      </c>
      <c r="I16" s="20">
        <f>SUMIF(Book!$G:$G,$B16,Book!O:O)</f>
        <v>0</v>
      </c>
      <c r="J16" s="18"/>
      <c r="K16" s="20">
        <f>SUMIF('GSTR-2B'!$G:$G,$B16,'GSTR-2B'!J:J)</f>
        <v>40.81</v>
      </c>
      <c r="L16" s="20">
        <f>SUMIF('GSTR-2B'!$G:$G,$B16,'GSTR-2B'!L:L)</f>
        <v>7.35</v>
      </c>
      <c r="M16" s="20">
        <f>SUMIF('GSTR-2B'!$G:$G,$B16,'GSTR-2B'!M:M)</f>
        <v>0</v>
      </c>
      <c r="N16" s="20">
        <f>SUMIF('GSTR-2B'!$G:$G,$B16,'GSTR-2B'!N:N)</f>
        <v>0</v>
      </c>
      <c r="O16" s="20">
        <f>SUMIF('GSTR-2B'!$G:$G,$B16,'GSTR-2B'!O:O)</f>
        <v>0</v>
      </c>
      <c r="P16" s="20"/>
      <c r="Q16" s="20">
        <f t="shared" si="0"/>
        <v>0</v>
      </c>
      <c r="R16" s="20">
        <f t="shared" si="1"/>
        <v>0</v>
      </c>
      <c r="S16" s="20">
        <f t="shared" si="2"/>
        <v>0</v>
      </c>
      <c r="T16" s="20">
        <f t="shared" si="3"/>
        <v>0</v>
      </c>
      <c r="U16" s="20">
        <f>SUMIF('GSTR-2B'!$G:$G,$B16,'GSTR-2B'!U:U)</f>
        <v>0</v>
      </c>
      <c r="V16" s="21"/>
      <c r="W16" s="22" t="str">
        <f>VLOOKUP(A16,'GST Wise Reco'!$A$3:$T$34,20,0)</f>
        <v>Book And 2B Match</v>
      </c>
      <c r="X16" t="s">
        <v>29</v>
      </c>
      <c r="Y16" t="s">
        <v>29</v>
      </c>
    </row>
    <row r="17" spans="1:25" x14ac:dyDescent="0.3">
      <c r="A17" s="18" t="s">
        <v>77</v>
      </c>
      <c r="B17" s="18" t="s">
        <v>417</v>
      </c>
      <c r="C17" s="18"/>
      <c r="D17" s="18"/>
      <c r="E17" s="20">
        <f>SUMIF(Book!$G:$G,$B17,Book!J:J)</f>
        <v>44.34</v>
      </c>
      <c r="F17" s="20">
        <f>SUMIF(Book!$G:$G,$B17,Book!L:L)</f>
        <v>7.98</v>
      </c>
      <c r="G17" s="20">
        <f>SUMIF(Book!$G:$G,$B17,Book!M:M)</f>
        <v>0</v>
      </c>
      <c r="H17" s="20">
        <f>SUMIF(Book!$G:$G,$B17,Book!N:N)</f>
        <v>0</v>
      </c>
      <c r="I17" s="20">
        <f>SUMIF(Book!$G:$G,$B17,Book!O:O)</f>
        <v>0</v>
      </c>
      <c r="J17" s="18"/>
      <c r="K17" s="20">
        <f>SUMIF('GSTR-2B'!$G:$G,$B17,'GSTR-2B'!J:J)</f>
        <v>44.34</v>
      </c>
      <c r="L17" s="20">
        <f>SUMIF('GSTR-2B'!$G:$G,$B17,'GSTR-2B'!L:L)</f>
        <v>7.98</v>
      </c>
      <c r="M17" s="20">
        <f>SUMIF('GSTR-2B'!$G:$G,$B17,'GSTR-2B'!M:M)</f>
        <v>0</v>
      </c>
      <c r="N17" s="20">
        <f>SUMIF('GSTR-2B'!$G:$G,$B17,'GSTR-2B'!N:N)</f>
        <v>0</v>
      </c>
      <c r="O17" s="20">
        <f>SUMIF('GSTR-2B'!$G:$G,$B17,'GSTR-2B'!O:O)</f>
        <v>0</v>
      </c>
      <c r="P17" s="20"/>
      <c r="Q17" s="20">
        <f t="shared" si="0"/>
        <v>0</v>
      </c>
      <c r="R17" s="20">
        <f t="shared" si="1"/>
        <v>0</v>
      </c>
      <c r="S17" s="20">
        <f t="shared" si="2"/>
        <v>0</v>
      </c>
      <c r="T17" s="20">
        <f t="shared" si="3"/>
        <v>0</v>
      </c>
      <c r="U17" s="20">
        <f>SUMIF('GSTR-2B'!$G:$G,$B17,'GSTR-2B'!U:U)</f>
        <v>0</v>
      </c>
      <c r="V17" s="21"/>
      <c r="W17" s="22" t="str">
        <f>VLOOKUP(A17,'GST Wise Reco'!$A$3:$T$34,20,0)</f>
        <v>Book And 2B Match</v>
      </c>
      <c r="X17" t="s">
        <v>29</v>
      </c>
      <c r="Y17" t="s">
        <v>29</v>
      </c>
    </row>
    <row r="18" spans="1:25" x14ac:dyDescent="0.3">
      <c r="A18" s="18" t="s">
        <v>77</v>
      </c>
      <c r="B18" s="18" t="s">
        <v>418</v>
      </c>
      <c r="C18" s="18"/>
      <c r="D18" s="18"/>
      <c r="E18" s="20">
        <f>SUMIF(Book!$G:$G,$B18,Book!J:J)</f>
        <v>-16.36</v>
      </c>
      <c r="F18" s="20">
        <f>SUMIF(Book!$G:$G,$B18,Book!L:L)</f>
        <v>-2.94</v>
      </c>
      <c r="G18" s="20">
        <f>SUMIF(Book!$G:$G,$B18,Book!M:M)</f>
        <v>0</v>
      </c>
      <c r="H18" s="20">
        <f>SUMIF(Book!$G:$G,$B18,Book!N:N)</f>
        <v>0</v>
      </c>
      <c r="I18" s="20">
        <f>SUMIF(Book!$G:$G,$B18,Book!O:O)</f>
        <v>0</v>
      </c>
      <c r="J18" s="18"/>
      <c r="K18" s="20">
        <f>SUMIF('GSTR-2B'!$G:$G,$B18,'GSTR-2B'!J:J)</f>
        <v>-16.36</v>
      </c>
      <c r="L18" s="20">
        <f>SUMIF('GSTR-2B'!$G:$G,$B18,'GSTR-2B'!L:L)</f>
        <v>-2.94</v>
      </c>
      <c r="M18" s="20">
        <f>SUMIF('GSTR-2B'!$G:$G,$B18,'GSTR-2B'!M:M)</f>
        <v>0</v>
      </c>
      <c r="N18" s="20">
        <f>SUMIF('GSTR-2B'!$G:$G,$B18,'GSTR-2B'!N:N)</f>
        <v>0</v>
      </c>
      <c r="O18" s="20">
        <f>SUMIF('GSTR-2B'!$G:$G,$B18,'GSTR-2B'!O:O)</f>
        <v>0</v>
      </c>
      <c r="P18" s="20"/>
      <c r="Q18" s="20">
        <f t="shared" si="0"/>
        <v>0</v>
      </c>
      <c r="R18" s="20">
        <f t="shared" si="1"/>
        <v>0</v>
      </c>
      <c r="S18" s="20">
        <f t="shared" si="2"/>
        <v>0</v>
      </c>
      <c r="T18" s="20">
        <f t="shared" si="3"/>
        <v>0</v>
      </c>
      <c r="U18" s="20">
        <f>SUMIF('GSTR-2B'!$G:$G,$B18,'GSTR-2B'!U:U)</f>
        <v>0</v>
      </c>
      <c r="V18" s="21"/>
      <c r="W18" s="22" t="str">
        <f>VLOOKUP(A18,'GST Wise Reco'!$A$3:$T$34,20,0)</f>
        <v>Book And 2B Match</v>
      </c>
      <c r="X18" t="s">
        <v>29</v>
      </c>
      <c r="Y18" t="s">
        <v>29</v>
      </c>
    </row>
    <row r="19" spans="1:25" x14ac:dyDescent="0.3">
      <c r="A19" s="18" t="s">
        <v>77</v>
      </c>
      <c r="B19" s="18" t="s">
        <v>420</v>
      </c>
      <c r="C19" s="18"/>
      <c r="D19" s="18"/>
      <c r="E19" s="20">
        <f>SUMIF(Book!$G:$G,$B19,Book!J:J)</f>
        <v>7.41</v>
      </c>
      <c r="F19" s="20">
        <f>SUMIF(Book!$G:$G,$B19,Book!L:L)</f>
        <v>1.33</v>
      </c>
      <c r="G19" s="20">
        <f>SUMIF(Book!$G:$G,$B19,Book!M:M)</f>
        <v>0</v>
      </c>
      <c r="H19" s="20">
        <f>SUMIF(Book!$G:$G,$B19,Book!N:N)</f>
        <v>0</v>
      </c>
      <c r="I19" s="20">
        <f>SUMIF(Book!$G:$G,$B19,Book!O:O)</f>
        <v>0</v>
      </c>
      <c r="J19" s="18"/>
      <c r="K19" s="20">
        <f>SUMIF('GSTR-2B'!$G:$G,$B19,'GSTR-2B'!J:J)</f>
        <v>7.41</v>
      </c>
      <c r="L19" s="20">
        <f>SUMIF('GSTR-2B'!$G:$G,$B19,'GSTR-2B'!L:L)</f>
        <v>1.33</v>
      </c>
      <c r="M19" s="20">
        <f>SUMIF('GSTR-2B'!$G:$G,$B19,'GSTR-2B'!M:M)</f>
        <v>0</v>
      </c>
      <c r="N19" s="20">
        <f>SUMIF('GSTR-2B'!$G:$G,$B19,'GSTR-2B'!N:N)</f>
        <v>0</v>
      </c>
      <c r="O19" s="20">
        <f>SUMIF('GSTR-2B'!$G:$G,$B19,'GSTR-2B'!O:O)</f>
        <v>0</v>
      </c>
      <c r="P19" s="20"/>
      <c r="Q19" s="20">
        <f t="shared" si="0"/>
        <v>0</v>
      </c>
      <c r="R19" s="20">
        <f t="shared" si="1"/>
        <v>0</v>
      </c>
      <c r="S19" s="20">
        <f t="shared" si="2"/>
        <v>0</v>
      </c>
      <c r="T19" s="20">
        <f t="shared" si="3"/>
        <v>0</v>
      </c>
      <c r="U19" s="20">
        <f>SUMIF('GSTR-2B'!$G:$G,$B19,'GSTR-2B'!U:U)</f>
        <v>0</v>
      </c>
      <c r="V19" s="21"/>
      <c r="W19" s="22" t="str">
        <f>VLOOKUP(A19,'GST Wise Reco'!$A$3:$T$34,20,0)</f>
        <v>Book And 2B Match</v>
      </c>
      <c r="X19" t="s">
        <v>29</v>
      </c>
      <c r="Y19" t="s">
        <v>29</v>
      </c>
    </row>
    <row r="20" spans="1:25" x14ac:dyDescent="0.3">
      <c r="A20" s="18" t="s">
        <v>77</v>
      </c>
      <c r="B20" s="18" t="s">
        <v>421</v>
      </c>
      <c r="C20" s="18"/>
      <c r="D20" s="18"/>
      <c r="E20" s="20">
        <f>SUMIF(Book!$G:$G,$B20,Book!J:J)</f>
        <v>59.23</v>
      </c>
      <c r="F20" s="20">
        <f>SUMIF(Book!$G:$G,$B20,Book!L:L)</f>
        <v>10.66</v>
      </c>
      <c r="G20" s="20">
        <f>SUMIF(Book!$G:$G,$B20,Book!M:M)</f>
        <v>0</v>
      </c>
      <c r="H20" s="20">
        <f>SUMIF(Book!$G:$G,$B20,Book!N:N)</f>
        <v>0</v>
      </c>
      <c r="I20" s="20">
        <f>SUMIF(Book!$G:$G,$B20,Book!O:O)</f>
        <v>0</v>
      </c>
      <c r="J20" s="18"/>
      <c r="K20" s="20">
        <f>SUMIF('GSTR-2B'!$G:$G,$B20,'GSTR-2B'!J:J)</f>
        <v>59.23</v>
      </c>
      <c r="L20" s="20">
        <f>SUMIF('GSTR-2B'!$G:$G,$B20,'GSTR-2B'!L:L)</f>
        <v>10.66</v>
      </c>
      <c r="M20" s="20">
        <f>SUMIF('GSTR-2B'!$G:$G,$B20,'GSTR-2B'!M:M)</f>
        <v>0</v>
      </c>
      <c r="N20" s="20">
        <f>SUMIF('GSTR-2B'!$G:$G,$B20,'GSTR-2B'!N:N)</f>
        <v>0</v>
      </c>
      <c r="O20" s="20">
        <f>SUMIF('GSTR-2B'!$G:$G,$B20,'GSTR-2B'!O:O)</f>
        <v>0</v>
      </c>
      <c r="P20" s="20"/>
      <c r="Q20" s="20">
        <f t="shared" si="0"/>
        <v>0</v>
      </c>
      <c r="R20" s="20">
        <f t="shared" si="1"/>
        <v>0</v>
      </c>
      <c r="S20" s="20">
        <f t="shared" si="2"/>
        <v>0</v>
      </c>
      <c r="T20" s="20">
        <f t="shared" si="3"/>
        <v>0</v>
      </c>
      <c r="U20" s="20">
        <f>SUMIF('GSTR-2B'!$G:$G,$B20,'GSTR-2B'!U:U)</f>
        <v>0</v>
      </c>
      <c r="V20" s="21"/>
      <c r="W20" s="22" t="str">
        <f>VLOOKUP(A20,'GST Wise Reco'!$A$3:$T$34,20,0)</f>
        <v>Book And 2B Match</v>
      </c>
      <c r="X20" t="s">
        <v>29</v>
      </c>
      <c r="Y20" t="s">
        <v>29</v>
      </c>
    </row>
    <row r="21" spans="1:25" x14ac:dyDescent="0.3">
      <c r="A21" s="18" t="s">
        <v>77</v>
      </c>
      <c r="B21" s="18" t="s">
        <v>424</v>
      </c>
      <c r="C21" s="18"/>
      <c r="D21" s="18"/>
      <c r="E21" s="20">
        <f>SUMIF(Book!$G:$G,$B21,Book!J:J)</f>
        <v>39.32</v>
      </c>
      <c r="F21" s="20">
        <f>SUMIF(Book!$G:$G,$B21,Book!L:L)</f>
        <v>7.08</v>
      </c>
      <c r="G21" s="20">
        <f>SUMIF(Book!$G:$G,$B21,Book!M:M)</f>
        <v>0</v>
      </c>
      <c r="H21" s="20">
        <f>SUMIF(Book!$G:$G,$B21,Book!N:N)</f>
        <v>0</v>
      </c>
      <c r="I21" s="20">
        <f>SUMIF(Book!$G:$G,$B21,Book!O:O)</f>
        <v>0</v>
      </c>
      <c r="J21" s="18"/>
      <c r="K21" s="20">
        <f>SUMIF('GSTR-2B'!$G:$G,$B21,'GSTR-2B'!J:J)</f>
        <v>0</v>
      </c>
      <c r="L21" s="20">
        <f>SUMIF('GSTR-2B'!$G:$G,$B21,'GSTR-2B'!L:L)</f>
        <v>0</v>
      </c>
      <c r="M21" s="20">
        <f>SUMIF('GSTR-2B'!$G:$G,$B21,'GSTR-2B'!M:M)</f>
        <v>0</v>
      </c>
      <c r="N21" s="20">
        <f>SUMIF('GSTR-2B'!$G:$G,$B21,'GSTR-2B'!N:N)</f>
        <v>0</v>
      </c>
      <c r="O21" s="20">
        <f>SUMIF('GSTR-2B'!$G:$G,$B21,'GSTR-2B'!O:O)</f>
        <v>0</v>
      </c>
      <c r="P21" s="20"/>
      <c r="Q21" s="20">
        <f t="shared" si="0"/>
        <v>39.32</v>
      </c>
      <c r="R21" s="20">
        <f t="shared" si="1"/>
        <v>7.08</v>
      </c>
      <c r="S21" s="20">
        <f t="shared" si="2"/>
        <v>0</v>
      </c>
      <c r="T21" s="20">
        <f t="shared" si="3"/>
        <v>0</v>
      </c>
      <c r="U21" s="20">
        <f>SUMIF('GSTR-2B'!$G:$G,$B21,'GSTR-2B'!U:U)</f>
        <v>0</v>
      </c>
      <c r="V21" s="21"/>
      <c r="W21" s="22" t="str">
        <f>VLOOKUP(A21,'GST Wise Reco'!$A$3:$T$34,20,0)</f>
        <v>Book And 2B Match</v>
      </c>
      <c r="X21" t="s">
        <v>482</v>
      </c>
      <c r="Y21" t="s">
        <v>29</v>
      </c>
    </row>
    <row r="22" spans="1:25" x14ac:dyDescent="0.3">
      <c r="A22" s="18" t="s">
        <v>77</v>
      </c>
      <c r="B22" s="18" t="s">
        <v>425</v>
      </c>
      <c r="C22" s="18"/>
      <c r="D22" s="18"/>
      <c r="E22" s="20">
        <f>SUMIF(Book!$G:$G,$B22,Book!J:J)</f>
        <v>46.68</v>
      </c>
      <c r="F22" s="20">
        <f>SUMIF(Book!$G:$G,$B22,Book!L:L)</f>
        <v>8.4</v>
      </c>
      <c r="G22" s="20">
        <f>SUMIF(Book!$G:$G,$B22,Book!M:M)</f>
        <v>0</v>
      </c>
      <c r="H22" s="20">
        <f>SUMIF(Book!$G:$G,$B22,Book!N:N)</f>
        <v>0</v>
      </c>
      <c r="I22" s="20">
        <f>SUMIF(Book!$G:$G,$B22,Book!O:O)</f>
        <v>0</v>
      </c>
      <c r="J22" s="18"/>
      <c r="K22" s="20">
        <f>SUMIF('GSTR-2B'!$G:$G,$B22,'GSTR-2B'!J:J)</f>
        <v>0</v>
      </c>
      <c r="L22" s="20">
        <f>SUMIF('GSTR-2B'!$G:$G,$B22,'GSTR-2B'!L:L)</f>
        <v>0</v>
      </c>
      <c r="M22" s="20">
        <f>SUMIF('GSTR-2B'!$G:$G,$B22,'GSTR-2B'!M:M)</f>
        <v>0</v>
      </c>
      <c r="N22" s="20">
        <f>SUMIF('GSTR-2B'!$G:$G,$B22,'GSTR-2B'!N:N)</f>
        <v>0</v>
      </c>
      <c r="O22" s="20">
        <f>SUMIF('GSTR-2B'!$G:$G,$B22,'GSTR-2B'!O:O)</f>
        <v>0</v>
      </c>
      <c r="P22" s="20"/>
      <c r="Q22" s="20">
        <f t="shared" si="0"/>
        <v>46.68</v>
      </c>
      <c r="R22" s="20">
        <f t="shared" si="1"/>
        <v>8.4</v>
      </c>
      <c r="S22" s="20">
        <f t="shared" si="2"/>
        <v>0</v>
      </c>
      <c r="T22" s="20">
        <f t="shared" si="3"/>
        <v>0</v>
      </c>
      <c r="U22" s="20">
        <f>SUMIF('GSTR-2B'!$G:$G,$B22,'GSTR-2B'!U:U)</f>
        <v>0</v>
      </c>
      <c r="V22" s="21"/>
      <c r="W22" s="22" t="str">
        <f>VLOOKUP(A22,'GST Wise Reco'!$A$3:$T$34,20,0)</f>
        <v>Book And 2B Match</v>
      </c>
      <c r="X22" t="s">
        <v>482</v>
      </c>
      <c r="Y22" t="s">
        <v>29</v>
      </c>
    </row>
    <row r="23" spans="1:25" x14ac:dyDescent="0.3">
      <c r="A23" s="18" t="s">
        <v>77</v>
      </c>
      <c r="B23" s="18" t="s">
        <v>447</v>
      </c>
      <c r="C23" s="18"/>
      <c r="D23" s="18"/>
      <c r="E23" s="20">
        <f>SUMIF(Book!$G:$G,$B23,Book!J:J)</f>
        <v>-0.4</v>
      </c>
      <c r="F23" s="20">
        <f>SUMIF(Book!$G:$G,$B23,Book!L:L)</f>
        <v>-7.0000000000000007E-2</v>
      </c>
      <c r="G23" s="20">
        <f>SUMIF(Book!$G:$G,$B23,Book!M:M)</f>
        <v>0</v>
      </c>
      <c r="H23" s="20">
        <f>SUMIF(Book!$G:$G,$B23,Book!N:N)</f>
        <v>0</v>
      </c>
      <c r="I23" s="20">
        <f>SUMIF(Book!$G:$G,$B23,Book!O:O)</f>
        <v>0</v>
      </c>
      <c r="J23" s="18"/>
      <c r="K23" s="20">
        <f>SUMIF('GSTR-2B'!$G:$G,$B23,'GSTR-2B'!J:J)</f>
        <v>-0.4</v>
      </c>
      <c r="L23" s="20">
        <f>SUMIF('GSTR-2B'!$G:$G,$B23,'GSTR-2B'!L:L)</f>
        <v>-7.0000000000000007E-2</v>
      </c>
      <c r="M23" s="20">
        <f>SUMIF('GSTR-2B'!$G:$G,$B23,'GSTR-2B'!M:M)</f>
        <v>0</v>
      </c>
      <c r="N23" s="20">
        <f>SUMIF('GSTR-2B'!$G:$G,$B23,'GSTR-2B'!N:N)</f>
        <v>0</v>
      </c>
      <c r="O23" s="20">
        <f>SUMIF('GSTR-2B'!$G:$G,$B23,'GSTR-2B'!O:O)</f>
        <v>0</v>
      </c>
      <c r="P23" s="20"/>
      <c r="Q23" s="20">
        <f t="shared" si="0"/>
        <v>0</v>
      </c>
      <c r="R23" s="20">
        <f t="shared" si="1"/>
        <v>0</v>
      </c>
      <c r="S23" s="20">
        <f t="shared" si="2"/>
        <v>0</v>
      </c>
      <c r="T23" s="20">
        <f t="shared" si="3"/>
        <v>0</v>
      </c>
      <c r="U23" s="20">
        <f>SUMIF('GSTR-2B'!$G:$G,$B23,'GSTR-2B'!U:U)</f>
        <v>0</v>
      </c>
      <c r="V23" s="21"/>
      <c r="W23" s="22" t="str">
        <f>VLOOKUP(A23,'GST Wise Reco'!$A$3:$T$34,20,0)</f>
        <v>Book And 2B Match</v>
      </c>
      <c r="X23" t="s">
        <v>29</v>
      </c>
      <c r="Y23" t="s">
        <v>29</v>
      </c>
    </row>
    <row r="24" spans="1:25" x14ac:dyDescent="0.3">
      <c r="A24" s="18" t="s">
        <v>77</v>
      </c>
      <c r="B24" s="18" t="s">
        <v>454</v>
      </c>
      <c r="C24" s="18"/>
      <c r="D24" s="18"/>
      <c r="E24" s="20">
        <f>SUMIF(Book!$G:$G,$B24,Book!J:J)</f>
        <v>0</v>
      </c>
      <c r="F24" s="20">
        <f>SUMIF(Book!$G:$G,$B24,Book!L:L)</f>
        <v>0</v>
      </c>
      <c r="G24" s="20">
        <f>SUMIF(Book!$G:$G,$B24,Book!M:M)</f>
        <v>0</v>
      </c>
      <c r="H24" s="20">
        <f>SUMIF(Book!$G:$G,$B24,Book!N:N)</f>
        <v>0</v>
      </c>
      <c r="I24" s="20">
        <f>SUMIF(Book!$G:$G,$B24,Book!O:O)</f>
        <v>0</v>
      </c>
      <c r="J24" s="18"/>
      <c r="K24" s="20">
        <f>SUMIF('GSTR-2B'!$G:$G,$B24,'GSTR-2B'!J:J)</f>
        <v>39.32</v>
      </c>
      <c r="L24" s="20">
        <f>SUMIF('GSTR-2B'!$G:$G,$B24,'GSTR-2B'!L:L)</f>
        <v>7.08</v>
      </c>
      <c r="M24" s="20">
        <f>SUMIF('GSTR-2B'!$G:$G,$B24,'GSTR-2B'!M:M)</f>
        <v>0</v>
      </c>
      <c r="N24" s="20">
        <f>SUMIF('GSTR-2B'!$G:$G,$B24,'GSTR-2B'!N:N)</f>
        <v>0</v>
      </c>
      <c r="O24" s="20">
        <f>SUMIF('GSTR-2B'!$G:$G,$B24,'GSTR-2B'!O:O)</f>
        <v>0</v>
      </c>
      <c r="P24" s="20"/>
      <c r="Q24" s="20">
        <f t="shared" si="0"/>
        <v>-39.32</v>
      </c>
      <c r="R24" s="20">
        <f t="shared" si="1"/>
        <v>-7.08</v>
      </c>
      <c r="S24" s="20">
        <f t="shared" si="2"/>
        <v>0</v>
      </c>
      <c r="T24" s="20">
        <f t="shared" si="3"/>
        <v>0</v>
      </c>
      <c r="U24" s="20">
        <f>SUMIF('GSTR-2B'!$G:$G,$B24,'GSTR-2B'!U:U)</f>
        <v>0</v>
      </c>
      <c r="V24" s="21"/>
      <c r="W24" s="22" t="str">
        <f>VLOOKUP(A24,'GST Wise Reco'!$A$3:$T$34,20,0)</f>
        <v>Book And 2B Match</v>
      </c>
      <c r="X24" t="s">
        <v>482</v>
      </c>
      <c r="Y24" t="s">
        <v>29</v>
      </c>
    </row>
    <row r="25" spans="1:25" x14ac:dyDescent="0.3">
      <c r="A25" s="18" t="s">
        <v>77</v>
      </c>
      <c r="B25" s="18" t="s">
        <v>455</v>
      </c>
      <c r="C25" s="18"/>
      <c r="D25" s="18"/>
      <c r="E25" s="20">
        <f>SUMIF(Book!$G:$G,$B25,Book!J:J)</f>
        <v>0</v>
      </c>
      <c r="F25" s="20">
        <f>SUMIF(Book!$G:$G,$B25,Book!L:L)</f>
        <v>0</v>
      </c>
      <c r="G25" s="20">
        <f>SUMIF(Book!$G:$G,$B25,Book!M:M)</f>
        <v>0</v>
      </c>
      <c r="H25" s="20">
        <f>SUMIF(Book!$G:$G,$B25,Book!N:N)</f>
        <v>0</v>
      </c>
      <c r="I25" s="20">
        <f>SUMIF(Book!$G:$G,$B25,Book!O:O)</f>
        <v>0</v>
      </c>
      <c r="J25" s="18"/>
      <c r="K25" s="20">
        <f>SUMIF('GSTR-2B'!$G:$G,$B25,'GSTR-2B'!J:J)</f>
        <v>46.68</v>
      </c>
      <c r="L25" s="20">
        <f>SUMIF('GSTR-2B'!$G:$G,$B25,'GSTR-2B'!L:L)</f>
        <v>8.4</v>
      </c>
      <c r="M25" s="20">
        <f>SUMIF('GSTR-2B'!$G:$G,$B25,'GSTR-2B'!M:M)</f>
        <v>0</v>
      </c>
      <c r="N25" s="20">
        <f>SUMIF('GSTR-2B'!$G:$G,$B25,'GSTR-2B'!N:N)</f>
        <v>0</v>
      </c>
      <c r="O25" s="20">
        <f>SUMIF('GSTR-2B'!$G:$G,$B25,'GSTR-2B'!O:O)</f>
        <v>0</v>
      </c>
      <c r="P25" s="20"/>
      <c r="Q25" s="20">
        <f t="shared" si="0"/>
        <v>-46.68</v>
      </c>
      <c r="R25" s="20">
        <f t="shared" si="1"/>
        <v>-8.4</v>
      </c>
      <c r="S25" s="20">
        <f t="shared" si="2"/>
        <v>0</v>
      </c>
      <c r="T25" s="20">
        <f t="shared" si="3"/>
        <v>0</v>
      </c>
      <c r="U25" s="20">
        <f>SUMIF('GSTR-2B'!$G:$G,$B25,'GSTR-2B'!U:U)</f>
        <v>0</v>
      </c>
      <c r="V25" s="21"/>
      <c r="W25" s="22" t="str">
        <f>VLOOKUP(A25,'GST Wise Reco'!$A$3:$T$34,20,0)</f>
        <v>Book And 2B Match</v>
      </c>
      <c r="X25" t="s">
        <v>482</v>
      </c>
      <c r="Y25" t="s">
        <v>29</v>
      </c>
    </row>
    <row r="26" spans="1:25" x14ac:dyDescent="0.3">
      <c r="A26" s="18" t="s">
        <v>75</v>
      </c>
      <c r="B26" s="18" t="s">
        <v>362</v>
      </c>
      <c r="C26" s="18"/>
      <c r="D26" s="18"/>
      <c r="E26" s="20">
        <f>SUMIF(Book!$G:$G,$B26,Book!J:J)</f>
        <v>0</v>
      </c>
      <c r="F26" s="20">
        <f>SUMIF(Book!$G:$G,$B26,Book!L:L)</f>
        <v>0</v>
      </c>
      <c r="G26" s="20">
        <f>SUMIF(Book!$G:$G,$B26,Book!M:M)</f>
        <v>0</v>
      </c>
      <c r="H26" s="20">
        <f>SUMIF(Book!$G:$G,$B26,Book!N:N)</f>
        <v>0</v>
      </c>
      <c r="I26" s="20">
        <f>SUMIF(Book!$G:$G,$B26,Book!O:O)</f>
        <v>0</v>
      </c>
      <c r="J26" s="18"/>
      <c r="K26" s="20">
        <f>SUMIF('GSTR-2B'!$G:$G,$B26,'GSTR-2B'!J:J)</f>
        <v>0</v>
      </c>
      <c r="L26" s="20">
        <f>SUMIF('GSTR-2B'!$G:$G,$B26,'GSTR-2B'!L:L)</f>
        <v>0</v>
      </c>
      <c r="M26" s="20">
        <f>SUMIF('GSTR-2B'!$G:$G,$B26,'GSTR-2B'!M:M)</f>
        <v>0</v>
      </c>
      <c r="N26" s="20">
        <f>SUMIF('GSTR-2B'!$G:$G,$B26,'GSTR-2B'!N:N)</f>
        <v>0</v>
      </c>
      <c r="O26" s="20">
        <f>SUMIF('GSTR-2B'!$G:$G,$B26,'GSTR-2B'!O:O)</f>
        <v>0</v>
      </c>
      <c r="P26" s="20"/>
      <c r="Q26" s="20">
        <f t="shared" si="0"/>
        <v>0</v>
      </c>
      <c r="R26" s="20">
        <f t="shared" si="1"/>
        <v>0</v>
      </c>
      <c r="S26" s="20">
        <f t="shared" si="2"/>
        <v>0</v>
      </c>
      <c r="T26" s="20">
        <f t="shared" si="3"/>
        <v>0</v>
      </c>
      <c r="U26" s="20">
        <f>SUMIF('GSTR-2B'!$G:$G,$B26,'GSTR-2B'!U:U)</f>
        <v>0</v>
      </c>
      <c r="V26" s="21"/>
      <c r="W26" s="22" t="str">
        <f>VLOOKUP(A26,'GST Wise Reco'!$A$3:$T$34,20,0)</f>
        <v>Book And 2B Mis-Match</v>
      </c>
      <c r="X26" t="s">
        <v>29</v>
      </c>
      <c r="Y26" t="s">
        <v>29</v>
      </c>
    </row>
    <row r="27" spans="1:25" x14ac:dyDescent="0.3">
      <c r="A27" s="18" t="s">
        <v>75</v>
      </c>
      <c r="B27" s="18" t="s">
        <v>371</v>
      </c>
      <c r="C27" s="18"/>
      <c r="D27" s="18"/>
      <c r="E27" s="20">
        <f>SUMIF(Book!$G:$G,$B27,Book!J:J)</f>
        <v>45000</v>
      </c>
      <c r="F27" s="20">
        <f>SUMIF(Book!$G:$G,$B27,Book!L:L)</f>
        <v>8100</v>
      </c>
      <c r="G27" s="20">
        <f>SUMIF(Book!$G:$G,$B27,Book!M:M)</f>
        <v>0</v>
      </c>
      <c r="H27" s="20">
        <f>SUMIF(Book!$G:$G,$B27,Book!N:N)</f>
        <v>0</v>
      </c>
      <c r="I27" s="20">
        <f>SUMIF(Book!$G:$G,$B27,Book!O:O)</f>
        <v>0</v>
      </c>
      <c r="J27" s="18"/>
      <c r="K27" s="20">
        <f>SUMIF('GSTR-2B'!$G:$G,$B27,'GSTR-2B'!J:J)</f>
        <v>45000</v>
      </c>
      <c r="L27" s="20">
        <f>SUMIF('GSTR-2B'!$G:$G,$B27,'GSTR-2B'!L:L)</f>
        <v>8100</v>
      </c>
      <c r="M27" s="20">
        <f>SUMIF('GSTR-2B'!$G:$G,$B27,'GSTR-2B'!M:M)</f>
        <v>0</v>
      </c>
      <c r="N27" s="20">
        <f>SUMIF('GSTR-2B'!$G:$G,$B27,'GSTR-2B'!N:N)</f>
        <v>0</v>
      </c>
      <c r="O27" s="20">
        <f>SUMIF('GSTR-2B'!$G:$G,$B27,'GSTR-2B'!O:O)</f>
        <v>0</v>
      </c>
      <c r="P27" s="20"/>
      <c r="Q27" s="20">
        <f t="shared" si="0"/>
        <v>0</v>
      </c>
      <c r="R27" s="20">
        <f t="shared" si="1"/>
        <v>0</v>
      </c>
      <c r="S27" s="20">
        <f t="shared" si="2"/>
        <v>0</v>
      </c>
      <c r="T27" s="20">
        <f t="shared" si="3"/>
        <v>0</v>
      </c>
      <c r="U27" s="20">
        <f>SUMIF('GSTR-2B'!$G:$G,$B27,'GSTR-2B'!U:U)</f>
        <v>0</v>
      </c>
      <c r="V27" s="21"/>
      <c r="W27" s="22" t="str">
        <f>VLOOKUP(A27,'GST Wise Reco'!$A$3:$T$34,20,0)</f>
        <v>Book And 2B Mis-Match</v>
      </c>
      <c r="X27" t="s">
        <v>29</v>
      </c>
      <c r="Y27" t="s">
        <v>29</v>
      </c>
    </row>
    <row r="28" spans="1:25" x14ac:dyDescent="0.3">
      <c r="A28" s="18" t="s">
        <v>75</v>
      </c>
      <c r="B28" s="18" t="s">
        <v>375</v>
      </c>
      <c r="C28" s="18"/>
      <c r="D28" s="18"/>
      <c r="E28" s="20">
        <f>SUMIF(Book!$G:$G,$B28,Book!J:J)</f>
        <v>75000</v>
      </c>
      <c r="F28" s="20">
        <f>SUMIF(Book!$G:$G,$B28,Book!L:L)</f>
        <v>13500</v>
      </c>
      <c r="G28" s="20">
        <f>SUMIF(Book!$G:$G,$B28,Book!M:M)</f>
        <v>0</v>
      </c>
      <c r="H28" s="20">
        <f>SUMIF(Book!$G:$G,$B28,Book!N:N)</f>
        <v>0</v>
      </c>
      <c r="I28" s="20">
        <f>SUMIF(Book!$G:$G,$B28,Book!O:O)</f>
        <v>0</v>
      </c>
      <c r="J28" s="18"/>
      <c r="K28" s="20">
        <f>SUMIF('GSTR-2B'!$G:$G,$B28,'GSTR-2B'!J:J)</f>
        <v>0</v>
      </c>
      <c r="L28" s="20">
        <f>SUMIF('GSTR-2B'!$G:$G,$B28,'GSTR-2B'!L:L)</f>
        <v>0</v>
      </c>
      <c r="M28" s="20">
        <f>SUMIF('GSTR-2B'!$G:$G,$B28,'GSTR-2B'!M:M)</f>
        <v>0</v>
      </c>
      <c r="N28" s="20">
        <f>SUMIF('GSTR-2B'!$G:$G,$B28,'GSTR-2B'!N:N)</f>
        <v>0</v>
      </c>
      <c r="O28" s="20">
        <f>SUMIF('GSTR-2B'!$G:$G,$B28,'GSTR-2B'!O:O)</f>
        <v>0</v>
      </c>
      <c r="P28" s="20"/>
      <c r="Q28" s="20">
        <f t="shared" si="0"/>
        <v>75000</v>
      </c>
      <c r="R28" s="20">
        <f t="shared" si="1"/>
        <v>13500</v>
      </c>
      <c r="S28" s="20">
        <f t="shared" si="2"/>
        <v>0</v>
      </c>
      <c r="T28" s="20">
        <f t="shared" si="3"/>
        <v>0</v>
      </c>
      <c r="U28" s="20">
        <f>SUMIF('GSTR-2B'!$G:$G,$B28,'GSTR-2B'!U:U)</f>
        <v>0</v>
      </c>
      <c r="V28" s="21"/>
      <c r="W28" s="22" t="str">
        <f>VLOOKUP(A28,'GST Wise Reco'!$A$3:$T$34,20,0)</f>
        <v>Book And 2B Mis-Match</v>
      </c>
      <c r="X28" t="s">
        <v>483</v>
      </c>
      <c r="Y28" t="s">
        <v>483</v>
      </c>
    </row>
    <row r="29" spans="1:25" x14ac:dyDescent="0.3">
      <c r="A29" s="18" t="s">
        <v>75</v>
      </c>
      <c r="B29" s="18" t="s">
        <v>382</v>
      </c>
      <c r="C29" s="18"/>
      <c r="D29" s="18"/>
      <c r="E29" s="20">
        <f>SUMIF(Book!$G:$G,$B29,Book!J:J)</f>
        <v>45000</v>
      </c>
      <c r="F29" s="20">
        <f>SUMIF(Book!$G:$G,$B29,Book!L:L)</f>
        <v>8100</v>
      </c>
      <c r="G29" s="20">
        <f>SUMIF(Book!$G:$G,$B29,Book!M:M)</f>
        <v>0</v>
      </c>
      <c r="H29" s="20">
        <f>SUMIF(Book!$G:$G,$B29,Book!N:N)</f>
        <v>0</v>
      </c>
      <c r="I29" s="20">
        <f>SUMIF(Book!$G:$G,$B29,Book!O:O)</f>
        <v>0</v>
      </c>
      <c r="J29" s="18"/>
      <c r="K29" s="20">
        <f>SUMIF('GSTR-2B'!$G:$G,$B29,'GSTR-2B'!J:J)</f>
        <v>45000</v>
      </c>
      <c r="L29" s="20">
        <f>SUMIF('GSTR-2B'!$G:$G,$B29,'GSTR-2B'!L:L)</f>
        <v>8100</v>
      </c>
      <c r="M29" s="20">
        <f>SUMIF('GSTR-2B'!$G:$G,$B29,'GSTR-2B'!M:M)</f>
        <v>0</v>
      </c>
      <c r="N29" s="20">
        <f>SUMIF('GSTR-2B'!$G:$G,$B29,'GSTR-2B'!N:N)</f>
        <v>0</v>
      </c>
      <c r="O29" s="20">
        <f>SUMIF('GSTR-2B'!$G:$G,$B29,'GSTR-2B'!O:O)</f>
        <v>0</v>
      </c>
      <c r="P29" s="20"/>
      <c r="Q29" s="20">
        <f t="shared" si="0"/>
        <v>0</v>
      </c>
      <c r="R29" s="20">
        <f t="shared" si="1"/>
        <v>0</v>
      </c>
      <c r="S29" s="20">
        <f t="shared" si="2"/>
        <v>0</v>
      </c>
      <c r="T29" s="20">
        <f t="shared" si="3"/>
        <v>0</v>
      </c>
      <c r="U29" s="20">
        <f>SUMIF('GSTR-2B'!$G:$G,$B29,'GSTR-2B'!U:U)</f>
        <v>0</v>
      </c>
      <c r="V29" s="21"/>
      <c r="W29" s="22" t="str">
        <f>VLOOKUP(A29,'GST Wise Reco'!$A$3:$T$34,20,0)</f>
        <v>Book And 2B Mis-Match</v>
      </c>
      <c r="X29" t="s">
        <v>29</v>
      </c>
      <c r="Y29" t="s">
        <v>29</v>
      </c>
    </row>
    <row r="30" spans="1:25" x14ac:dyDescent="0.3">
      <c r="A30" s="18" t="s">
        <v>75</v>
      </c>
      <c r="B30" s="18" t="s">
        <v>387</v>
      </c>
      <c r="C30" s="18"/>
      <c r="D30" s="18"/>
      <c r="E30" s="20">
        <f>SUMIF(Book!$G:$G,$B30,Book!J:J)</f>
        <v>45000</v>
      </c>
      <c r="F30" s="20">
        <f>SUMIF(Book!$G:$G,$B30,Book!L:L)</f>
        <v>8100</v>
      </c>
      <c r="G30" s="20">
        <f>SUMIF(Book!$G:$G,$B30,Book!M:M)</f>
        <v>0</v>
      </c>
      <c r="H30" s="20">
        <f>SUMIF(Book!$G:$G,$B30,Book!N:N)</f>
        <v>0</v>
      </c>
      <c r="I30" s="20">
        <f>SUMIF(Book!$G:$G,$B30,Book!O:O)</f>
        <v>0</v>
      </c>
      <c r="J30" s="18"/>
      <c r="K30" s="20">
        <f>SUMIF('GSTR-2B'!$G:$G,$B30,'GSTR-2B'!J:J)</f>
        <v>0</v>
      </c>
      <c r="L30" s="20">
        <f>SUMIF('GSTR-2B'!$G:$G,$B30,'GSTR-2B'!L:L)</f>
        <v>0</v>
      </c>
      <c r="M30" s="20">
        <f>SUMIF('GSTR-2B'!$G:$G,$B30,'GSTR-2B'!M:M)</f>
        <v>0</v>
      </c>
      <c r="N30" s="20">
        <f>SUMIF('GSTR-2B'!$G:$G,$B30,'GSTR-2B'!N:N)</f>
        <v>0</v>
      </c>
      <c r="O30" s="20">
        <f>SUMIF('GSTR-2B'!$G:$G,$B30,'GSTR-2B'!O:O)</f>
        <v>0</v>
      </c>
      <c r="P30" s="20"/>
      <c r="Q30" s="20">
        <f t="shared" si="0"/>
        <v>45000</v>
      </c>
      <c r="R30" s="20">
        <f t="shared" si="1"/>
        <v>8100</v>
      </c>
      <c r="S30" s="20">
        <f t="shared" si="2"/>
        <v>0</v>
      </c>
      <c r="T30" s="20">
        <f t="shared" si="3"/>
        <v>0</v>
      </c>
      <c r="U30" s="20">
        <f>SUMIF('GSTR-2B'!$G:$G,$B30,'GSTR-2B'!U:U)</f>
        <v>0</v>
      </c>
      <c r="V30" s="21"/>
      <c r="W30" s="22" t="str">
        <f>VLOOKUP(A30,'GST Wise Reco'!$A$3:$T$34,20,0)</f>
        <v>Book And 2B Mis-Match</v>
      </c>
      <c r="X30" t="s">
        <v>482</v>
      </c>
      <c r="Y30" t="s">
        <v>29</v>
      </c>
    </row>
    <row r="31" spans="1:25" x14ac:dyDescent="0.3">
      <c r="A31" s="18" t="s">
        <v>75</v>
      </c>
      <c r="B31" s="18" t="s">
        <v>397</v>
      </c>
      <c r="C31" s="18"/>
      <c r="D31" s="18"/>
      <c r="E31" s="20">
        <f>SUMIF(Book!$G:$G,$B31,Book!J:J)</f>
        <v>45000</v>
      </c>
      <c r="F31" s="20">
        <f>SUMIF(Book!$G:$G,$B31,Book!L:L)</f>
        <v>8100</v>
      </c>
      <c r="G31" s="20">
        <f>SUMIF(Book!$G:$G,$B31,Book!M:M)</f>
        <v>0</v>
      </c>
      <c r="H31" s="20">
        <f>SUMIF(Book!$G:$G,$B31,Book!N:N)</f>
        <v>0</v>
      </c>
      <c r="I31" s="20">
        <f>SUMIF(Book!$G:$G,$B31,Book!O:O)</f>
        <v>0</v>
      </c>
      <c r="J31" s="18"/>
      <c r="K31" s="20">
        <f>SUMIF('GSTR-2B'!$G:$G,$B31,'GSTR-2B'!J:J)</f>
        <v>0</v>
      </c>
      <c r="L31" s="20">
        <f>SUMIF('GSTR-2B'!$G:$G,$B31,'GSTR-2B'!L:L)</f>
        <v>0</v>
      </c>
      <c r="M31" s="20">
        <f>SUMIF('GSTR-2B'!$G:$G,$B31,'GSTR-2B'!M:M)</f>
        <v>0</v>
      </c>
      <c r="N31" s="20">
        <f>SUMIF('GSTR-2B'!$G:$G,$B31,'GSTR-2B'!N:N)</f>
        <v>0</v>
      </c>
      <c r="O31" s="20">
        <f>SUMIF('GSTR-2B'!$G:$G,$B31,'GSTR-2B'!O:O)</f>
        <v>0</v>
      </c>
      <c r="P31" s="20"/>
      <c r="Q31" s="20">
        <f t="shared" si="0"/>
        <v>45000</v>
      </c>
      <c r="R31" s="20">
        <f t="shared" si="1"/>
        <v>8100</v>
      </c>
      <c r="S31" s="20">
        <f t="shared" si="2"/>
        <v>0</v>
      </c>
      <c r="T31" s="20">
        <f t="shared" si="3"/>
        <v>0</v>
      </c>
      <c r="U31" s="20">
        <f>SUMIF('GSTR-2B'!$G:$G,$B31,'GSTR-2B'!U:U)</f>
        <v>0</v>
      </c>
      <c r="V31" s="21"/>
      <c r="W31" s="22" t="str">
        <f>VLOOKUP(A31,'GST Wise Reco'!$A$3:$T$34,20,0)</f>
        <v>Book And 2B Mis-Match</v>
      </c>
      <c r="X31" t="s">
        <v>482</v>
      </c>
      <c r="Y31" t="s">
        <v>29</v>
      </c>
    </row>
    <row r="32" spans="1:25" x14ac:dyDescent="0.3">
      <c r="A32" s="18" t="s">
        <v>75</v>
      </c>
      <c r="B32" s="18" t="s">
        <v>456</v>
      </c>
      <c r="C32" s="18"/>
      <c r="D32" s="18"/>
      <c r="E32" s="20">
        <f>SUMIF(Book!$G:$G,$B32,Book!J:J)</f>
        <v>0</v>
      </c>
      <c r="F32" s="20">
        <f>SUMIF(Book!$G:$G,$B32,Book!L:L)</f>
        <v>0</v>
      </c>
      <c r="G32" s="20">
        <f>SUMIF(Book!$G:$G,$B32,Book!M:M)</f>
        <v>0</v>
      </c>
      <c r="H32" s="20">
        <f>SUMIF(Book!$G:$G,$B32,Book!N:N)</f>
        <v>0</v>
      </c>
      <c r="I32" s="20">
        <f>SUMIF(Book!$G:$G,$B32,Book!O:O)</f>
        <v>0</v>
      </c>
      <c r="J32" s="18"/>
      <c r="K32" s="20">
        <f>SUMIF('GSTR-2B'!$G:$G,$B32,'GSTR-2B'!J:J)</f>
        <v>45000</v>
      </c>
      <c r="L32" s="20">
        <f>SUMIF('GSTR-2B'!$G:$G,$B32,'GSTR-2B'!L:L)</f>
        <v>8100</v>
      </c>
      <c r="M32" s="20">
        <f>SUMIF('GSTR-2B'!$G:$G,$B32,'GSTR-2B'!M:M)</f>
        <v>0</v>
      </c>
      <c r="N32" s="20">
        <f>SUMIF('GSTR-2B'!$G:$G,$B32,'GSTR-2B'!N:N)</f>
        <v>0</v>
      </c>
      <c r="O32" s="20">
        <f>SUMIF('GSTR-2B'!$G:$G,$B32,'GSTR-2B'!O:O)</f>
        <v>0</v>
      </c>
      <c r="P32" s="20"/>
      <c r="Q32" s="20">
        <f t="shared" si="0"/>
        <v>-45000</v>
      </c>
      <c r="R32" s="20">
        <f t="shared" si="1"/>
        <v>-8100</v>
      </c>
      <c r="S32" s="20">
        <f t="shared" si="2"/>
        <v>0</v>
      </c>
      <c r="T32" s="20">
        <f t="shared" si="3"/>
        <v>0</v>
      </c>
      <c r="U32" s="20">
        <f>SUMIF('GSTR-2B'!$G:$G,$B32,'GSTR-2B'!U:U)</f>
        <v>0</v>
      </c>
      <c r="V32" s="21"/>
      <c r="W32" s="22" t="str">
        <f>VLOOKUP(A32,'GST Wise Reco'!$A$3:$T$34,20,0)</f>
        <v>Book And 2B Mis-Match</v>
      </c>
      <c r="X32" t="s">
        <v>482</v>
      </c>
      <c r="Y32" t="s">
        <v>29</v>
      </c>
    </row>
    <row r="33" spans="1:25" x14ac:dyDescent="0.3">
      <c r="A33" s="18" t="s">
        <v>75</v>
      </c>
      <c r="B33" s="18" t="s">
        <v>457</v>
      </c>
      <c r="C33" s="18"/>
      <c r="D33" s="18"/>
      <c r="E33" s="20">
        <f>SUMIF(Book!$G:$G,$B33,Book!J:J)</f>
        <v>0</v>
      </c>
      <c r="F33" s="20">
        <f>SUMIF(Book!$G:$G,$B33,Book!L:L)</f>
        <v>0</v>
      </c>
      <c r="G33" s="20">
        <f>SUMIF(Book!$G:$G,$B33,Book!M:M)</f>
        <v>0</v>
      </c>
      <c r="H33" s="20">
        <f>SUMIF(Book!$G:$G,$B33,Book!N:N)</f>
        <v>0</v>
      </c>
      <c r="I33" s="20">
        <f>SUMIF(Book!$G:$G,$B33,Book!O:O)</f>
        <v>0</v>
      </c>
      <c r="J33" s="18"/>
      <c r="K33" s="20">
        <f>SUMIF('GSTR-2B'!$G:$G,$B33,'GSTR-2B'!J:J)</f>
        <v>45000</v>
      </c>
      <c r="L33" s="20">
        <f>SUMIF('GSTR-2B'!$G:$G,$B33,'GSTR-2B'!L:L)</f>
        <v>8100</v>
      </c>
      <c r="M33" s="20">
        <f>SUMIF('GSTR-2B'!$G:$G,$B33,'GSTR-2B'!M:M)</f>
        <v>0</v>
      </c>
      <c r="N33" s="20">
        <f>SUMIF('GSTR-2B'!$G:$G,$B33,'GSTR-2B'!N:N)</f>
        <v>0</v>
      </c>
      <c r="O33" s="20">
        <f>SUMIF('GSTR-2B'!$G:$G,$B33,'GSTR-2B'!O:O)</f>
        <v>0</v>
      </c>
      <c r="P33" s="20"/>
      <c r="Q33" s="20">
        <f t="shared" si="0"/>
        <v>-45000</v>
      </c>
      <c r="R33" s="20">
        <f t="shared" si="1"/>
        <v>-8100</v>
      </c>
      <c r="S33" s="20">
        <f t="shared" si="2"/>
        <v>0</v>
      </c>
      <c r="T33" s="20">
        <f t="shared" si="3"/>
        <v>0</v>
      </c>
      <c r="U33" s="20">
        <f>SUMIF('GSTR-2B'!$G:$G,$B33,'GSTR-2B'!U:U)</f>
        <v>0</v>
      </c>
      <c r="V33" s="21"/>
      <c r="W33" s="22" t="str">
        <f>VLOOKUP(A33,'GST Wise Reco'!$A$3:$T$34,20,0)</f>
        <v>Book And 2B Mis-Match</v>
      </c>
      <c r="X33" t="s">
        <v>482</v>
      </c>
      <c r="Y33" t="s">
        <v>29</v>
      </c>
    </row>
    <row r="34" spans="1:25" x14ac:dyDescent="0.3">
      <c r="A34" s="18" t="s">
        <v>67</v>
      </c>
      <c r="B34" s="18" t="s">
        <v>306</v>
      </c>
      <c r="C34" s="18"/>
      <c r="D34" s="18"/>
      <c r="E34" s="20">
        <f>SUMIF(Book!$G:$G,$B34,Book!J:J)</f>
        <v>19079.75</v>
      </c>
      <c r="F34" s="20">
        <f>SUMIF(Book!$G:$G,$B34,Book!L:L)</f>
        <v>3434.36</v>
      </c>
      <c r="G34" s="20">
        <f>SUMIF(Book!$G:$G,$B34,Book!M:M)</f>
        <v>0</v>
      </c>
      <c r="H34" s="20">
        <f>SUMIF(Book!$G:$G,$B34,Book!N:N)</f>
        <v>0</v>
      </c>
      <c r="I34" s="20">
        <f>SUMIF(Book!$G:$G,$B34,Book!O:O)</f>
        <v>0</v>
      </c>
      <c r="J34" s="18"/>
      <c r="K34" s="20">
        <f>SUMIF('GSTR-2B'!$G:$G,$B34,'GSTR-2B'!J:J)</f>
        <v>19079.75</v>
      </c>
      <c r="L34" s="20">
        <f>SUMIF('GSTR-2B'!$G:$G,$B34,'GSTR-2B'!L:L)</f>
        <v>3434.36</v>
      </c>
      <c r="M34" s="20">
        <f>SUMIF('GSTR-2B'!$G:$G,$B34,'GSTR-2B'!M:M)</f>
        <v>0</v>
      </c>
      <c r="N34" s="20">
        <f>SUMIF('GSTR-2B'!$G:$G,$B34,'GSTR-2B'!N:N)</f>
        <v>0</v>
      </c>
      <c r="O34" s="20">
        <f>SUMIF('GSTR-2B'!$G:$G,$B34,'GSTR-2B'!O:O)</f>
        <v>0</v>
      </c>
      <c r="P34" s="20"/>
      <c r="Q34" s="20">
        <f t="shared" si="0"/>
        <v>0</v>
      </c>
      <c r="R34" s="20">
        <f t="shared" si="1"/>
        <v>0</v>
      </c>
      <c r="S34" s="20">
        <f t="shared" si="2"/>
        <v>0</v>
      </c>
      <c r="T34" s="20">
        <f t="shared" si="3"/>
        <v>0</v>
      </c>
      <c r="U34" s="20">
        <f>SUMIF('GSTR-2B'!$G:$G,$B34,'GSTR-2B'!U:U)</f>
        <v>0</v>
      </c>
      <c r="V34" s="21"/>
      <c r="W34" s="22" t="str">
        <f>VLOOKUP(A34,'GST Wise Reco'!$A$3:$T$34,20,0)</f>
        <v>Book And 2B Mis-Match</v>
      </c>
      <c r="X34" t="s">
        <v>29</v>
      </c>
      <c r="Y34" t="s">
        <v>29</v>
      </c>
    </row>
    <row r="35" spans="1:25" x14ac:dyDescent="0.3">
      <c r="A35" s="18" t="s">
        <v>67</v>
      </c>
      <c r="B35" s="18" t="s">
        <v>315</v>
      </c>
      <c r="C35" s="18"/>
      <c r="D35" s="18"/>
      <c r="E35" s="20">
        <f>SUMIF(Book!$G:$G,$B35,Book!J:J)</f>
        <v>24695.599999999999</v>
      </c>
      <c r="F35" s="20">
        <f>SUMIF(Book!$G:$G,$B35,Book!L:L)</f>
        <v>4445.21</v>
      </c>
      <c r="G35" s="20">
        <f>SUMIF(Book!$G:$G,$B35,Book!M:M)</f>
        <v>0</v>
      </c>
      <c r="H35" s="20">
        <f>SUMIF(Book!$G:$G,$B35,Book!N:N)</f>
        <v>0</v>
      </c>
      <c r="I35" s="20">
        <f>SUMIF(Book!$G:$G,$B35,Book!O:O)</f>
        <v>0</v>
      </c>
      <c r="J35" s="18"/>
      <c r="K35" s="20">
        <f>SUMIF('GSTR-2B'!$G:$G,$B35,'GSTR-2B'!J:J)</f>
        <v>24695.599999999999</v>
      </c>
      <c r="L35" s="20">
        <f>SUMIF('GSTR-2B'!$G:$G,$B35,'GSTR-2B'!L:L)</f>
        <v>4445.21</v>
      </c>
      <c r="M35" s="20">
        <f>SUMIF('GSTR-2B'!$G:$G,$B35,'GSTR-2B'!M:M)</f>
        <v>0</v>
      </c>
      <c r="N35" s="20">
        <f>SUMIF('GSTR-2B'!$G:$G,$B35,'GSTR-2B'!N:N)</f>
        <v>0</v>
      </c>
      <c r="O35" s="20">
        <f>SUMIF('GSTR-2B'!$G:$G,$B35,'GSTR-2B'!O:O)</f>
        <v>0</v>
      </c>
      <c r="P35" s="20"/>
      <c r="Q35" s="20">
        <f t="shared" si="0"/>
        <v>0</v>
      </c>
      <c r="R35" s="20">
        <f t="shared" si="1"/>
        <v>0</v>
      </c>
      <c r="S35" s="20">
        <f t="shared" si="2"/>
        <v>0</v>
      </c>
      <c r="T35" s="20">
        <f t="shared" si="3"/>
        <v>0</v>
      </c>
      <c r="U35" s="20">
        <f>SUMIF('GSTR-2B'!$G:$G,$B35,'GSTR-2B'!U:U)</f>
        <v>0</v>
      </c>
      <c r="V35" s="21"/>
      <c r="W35" s="22" t="str">
        <f>VLOOKUP(A35,'GST Wise Reco'!$A$3:$T$34,20,0)</f>
        <v>Book And 2B Mis-Match</v>
      </c>
      <c r="X35" t="s">
        <v>29</v>
      </c>
      <c r="Y35" t="s">
        <v>29</v>
      </c>
    </row>
    <row r="36" spans="1:25" x14ac:dyDescent="0.3">
      <c r="A36" s="18" t="s">
        <v>67</v>
      </c>
      <c r="B36" s="18" t="s">
        <v>322</v>
      </c>
      <c r="C36" s="18"/>
      <c r="D36" s="18"/>
      <c r="E36" s="20">
        <f>SUMIF(Book!$G:$G,$B36,Book!J:J)</f>
        <v>27601.99</v>
      </c>
      <c r="F36" s="20">
        <f>SUMIF(Book!$G:$G,$B36,Book!L:L)</f>
        <v>4968.3599999999997</v>
      </c>
      <c r="G36" s="20">
        <f>SUMIF(Book!$G:$G,$B36,Book!M:M)</f>
        <v>0</v>
      </c>
      <c r="H36" s="20">
        <f>SUMIF(Book!$G:$G,$B36,Book!N:N)</f>
        <v>0</v>
      </c>
      <c r="I36" s="20">
        <f>SUMIF(Book!$G:$G,$B36,Book!O:O)</f>
        <v>0</v>
      </c>
      <c r="J36" s="18"/>
      <c r="K36" s="20">
        <f>SUMIF('GSTR-2B'!$G:$G,$B36,'GSTR-2B'!J:J)</f>
        <v>27601.99</v>
      </c>
      <c r="L36" s="20">
        <f>SUMIF('GSTR-2B'!$G:$G,$B36,'GSTR-2B'!L:L)</f>
        <v>4968.3599999999997</v>
      </c>
      <c r="M36" s="20">
        <f>SUMIF('GSTR-2B'!$G:$G,$B36,'GSTR-2B'!M:M)</f>
        <v>0</v>
      </c>
      <c r="N36" s="20">
        <f>SUMIF('GSTR-2B'!$G:$G,$B36,'GSTR-2B'!N:N)</f>
        <v>0</v>
      </c>
      <c r="O36" s="20">
        <f>SUMIF('GSTR-2B'!$G:$G,$B36,'GSTR-2B'!O:O)</f>
        <v>0</v>
      </c>
      <c r="P36" s="20"/>
      <c r="Q36" s="20">
        <f t="shared" si="0"/>
        <v>0</v>
      </c>
      <c r="R36" s="20">
        <f t="shared" si="1"/>
        <v>0</v>
      </c>
      <c r="S36" s="20">
        <f t="shared" si="2"/>
        <v>0</v>
      </c>
      <c r="T36" s="20">
        <f t="shared" si="3"/>
        <v>0</v>
      </c>
      <c r="U36" s="20">
        <f>SUMIF('GSTR-2B'!$G:$G,$B36,'GSTR-2B'!U:U)</f>
        <v>0</v>
      </c>
      <c r="V36" s="21"/>
      <c r="W36" s="22" t="str">
        <f>VLOOKUP(A36,'GST Wise Reco'!$A$3:$T$34,20,0)</f>
        <v>Book And 2B Mis-Match</v>
      </c>
      <c r="X36" t="s">
        <v>29</v>
      </c>
      <c r="Y36" t="s">
        <v>29</v>
      </c>
    </row>
    <row r="37" spans="1:25" x14ac:dyDescent="0.3">
      <c r="A37" s="18" t="s">
        <v>67</v>
      </c>
      <c r="B37" s="18" t="s">
        <v>327</v>
      </c>
      <c r="C37" s="18"/>
      <c r="D37" s="18"/>
      <c r="E37" s="20">
        <f>SUMIF(Book!$G:$G,$B37,Book!J:J)</f>
        <v>27731.74</v>
      </c>
      <c r="F37" s="20">
        <f>SUMIF(Book!$G:$G,$B37,Book!L:L)</f>
        <v>4991.71</v>
      </c>
      <c r="G37" s="20">
        <f>SUMIF(Book!$G:$G,$B37,Book!M:M)</f>
        <v>0</v>
      </c>
      <c r="H37" s="20">
        <f>SUMIF(Book!$G:$G,$B37,Book!N:N)</f>
        <v>0</v>
      </c>
      <c r="I37" s="20">
        <f>SUMIF(Book!$G:$G,$B37,Book!O:O)</f>
        <v>0</v>
      </c>
      <c r="J37" s="18"/>
      <c r="K37" s="20">
        <f>SUMIF('GSTR-2B'!$G:$G,$B37,'GSTR-2B'!J:J)</f>
        <v>27731.74</v>
      </c>
      <c r="L37" s="20">
        <f>SUMIF('GSTR-2B'!$G:$G,$B37,'GSTR-2B'!L:L)</f>
        <v>4991.71</v>
      </c>
      <c r="M37" s="20">
        <f>SUMIF('GSTR-2B'!$G:$G,$B37,'GSTR-2B'!M:M)</f>
        <v>0</v>
      </c>
      <c r="N37" s="20">
        <f>SUMIF('GSTR-2B'!$G:$G,$B37,'GSTR-2B'!N:N)</f>
        <v>0</v>
      </c>
      <c r="O37" s="20">
        <f>SUMIF('GSTR-2B'!$G:$G,$B37,'GSTR-2B'!O:O)</f>
        <v>0</v>
      </c>
      <c r="P37" s="20"/>
      <c r="Q37" s="20">
        <f t="shared" ref="Q37:Q68" si="4">+E37-K37</f>
        <v>0</v>
      </c>
      <c r="R37" s="20">
        <f t="shared" ref="R37:R68" si="5">+F37-L37</f>
        <v>0</v>
      </c>
      <c r="S37" s="20">
        <f t="shared" ref="S37:S68" si="6">+G37-M37</f>
        <v>0</v>
      </c>
      <c r="T37" s="20">
        <f t="shared" ref="T37:T68" si="7">+H37-N37</f>
        <v>0</v>
      </c>
      <c r="U37" s="20">
        <f>SUMIF('GSTR-2B'!$G:$G,$B37,'GSTR-2B'!U:U)</f>
        <v>0</v>
      </c>
      <c r="V37" s="21"/>
      <c r="W37" s="22" t="str">
        <f>VLOOKUP(A37,'GST Wise Reco'!$A$3:$T$34,20,0)</f>
        <v>Book And 2B Mis-Match</v>
      </c>
      <c r="X37" t="s">
        <v>29</v>
      </c>
      <c r="Y37" t="s">
        <v>29</v>
      </c>
    </row>
    <row r="38" spans="1:25" x14ac:dyDescent="0.3">
      <c r="A38" s="18" t="s">
        <v>67</v>
      </c>
      <c r="B38" s="18" t="s">
        <v>337</v>
      </c>
      <c r="C38" s="18"/>
      <c r="D38" s="18"/>
      <c r="E38" s="20">
        <f>SUMIF(Book!$G:$G,$B38,Book!J:J)</f>
        <v>23933.86</v>
      </c>
      <c r="F38" s="20">
        <f>SUMIF(Book!$G:$G,$B38,Book!L:L)</f>
        <v>4308.09</v>
      </c>
      <c r="G38" s="20">
        <f>SUMIF(Book!$G:$G,$B38,Book!M:M)</f>
        <v>0</v>
      </c>
      <c r="H38" s="20">
        <f>SUMIF(Book!$G:$G,$B38,Book!N:N)</f>
        <v>0</v>
      </c>
      <c r="I38" s="20">
        <f>SUMIF(Book!$G:$G,$B38,Book!O:O)</f>
        <v>0</v>
      </c>
      <c r="J38" s="18"/>
      <c r="K38" s="20">
        <f>SUMIF('GSTR-2B'!$G:$G,$B38,'GSTR-2B'!J:J)</f>
        <v>23933.86</v>
      </c>
      <c r="L38" s="20">
        <f>SUMIF('GSTR-2B'!$G:$G,$B38,'GSTR-2B'!L:L)</f>
        <v>4308.09</v>
      </c>
      <c r="M38" s="20">
        <f>SUMIF('GSTR-2B'!$G:$G,$B38,'GSTR-2B'!M:M)</f>
        <v>0</v>
      </c>
      <c r="N38" s="20">
        <f>SUMIF('GSTR-2B'!$G:$G,$B38,'GSTR-2B'!N:N)</f>
        <v>0</v>
      </c>
      <c r="O38" s="20">
        <f>SUMIF('GSTR-2B'!$G:$G,$B38,'GSTR-2B'!O:O)</f>
        <v>0</v>
      </c>
      <c r="P38" s="20"/>
      <c r="Q38" s="20">
        <f t="shared" si="4"/>
        <v>0</v>
      </c>
      <c r="R38" s="20">
        <f t="shared" si="5"/>
        <v>0</v>
      </c>
      <c r="S38" s="20">
        <f t="shared" si="6"/>
        <v>0</v>
      </c>
      <c r="T38" s="20">
        <f t="shared" si="7"/>
        <v>0</v>
      </c>
      <c r="U38" s="20">
        <f>SUMIF('GSTR-2B'!$G:$G,$B38,'GSTR-2B'!U:U)</f>
        <v>0</v>
      </c>
      <c r="V38" s="21"/>
      <c r="W38" s="22" t="str">
        <f>VLOOKUP(A38,'GST Wise Reco'!$A$3:$T$34,20,0)</f>
        <v>Book And 2B Mis-Match</v>
      </c>
      <c r="X38" t="s">
        <v>29</v>
      </c>
      <c r="Y38" t="s">
        <v>29</v>
      </c>
    </row>
    <row r="39" spans="1:25" x14ac:dyDescent="0.3">
      <c r="A39" s="18" t="s">
        <v>67</v>
      </c>
      <c r="B39" s="18" t="s">
        <v>343</v>
      </c>
      <c r="C39" s="18"/>
      <c r="D39" s="18"/>
      <c r="E39" s="20">
        <f>SUMIF(Book!$G:$G,$B39,Book!J:J)</f>
        <v>22309.79</v>
      </c>
      <c r="F39" s="20">
        <f>SUMIF(Book!$G:$G,$B39,Book!L:L)</f>
        <v>4015.76</v>
      </c>
      <c r="G39" s="20">
        <f>SUMIF(Book!$G:$G,$B39,Book!M:M)</f>
        <v>0</v>
      </c>
      <c r="H39" s="20">
        <f>SUMIF(Book!$G:$G,$B39,Book!N:N)</f>
        <v>0</v>
      </c>
      <c r="I39" s="20">
        <f>SUMIF(Book!$G:$G,$B39,Book!O:O)</f>
        <v>0</v>
      </c>
      <c r="J39" s="18"/>
      <c r="K39" s="20">
        <f>SUMIF('GSTR-2B'!$G:$G,$B39,'GSTR-2B'!J:J)</f>
        <v>22309.79</v>
      </c>
      <c r="L39" s="20">
        <f>SUMIF('GSTR-2B'!$G:$G,$B39,'GSTR-2B'!L:L)</f>
        <v>4015.76</v>
      </c>
      <c r="M39" s="20">
        <f>SUMIF('GSTR-2B'!$G:$G,$B39,'GSTR-2B'!M:M)</f>
        <v>0</v>
      </c>
      <c r="N39" s="20">
        <f>SUMIF('GSTR-2B'!$G:$G,$B39,'GSTR-2B'!N:N)</f>
        <v>0</v>
      </c>
      <c r="O39" s="20">
        <f>SUMIF('GSTR-2B'!$G:$G,$B39,'GSTR-2B'!O:O)</f>
        <v>0</v>
      </c>
      <c r="P39" s="20"/>
      <c r="Q39" s="20">
        <f t="shared" si="4"/>
        <v>0</v>
      </c>
      <c r="R39" s="20">
        <f t="shared" si="5"/>
        <v>0</v>
      </c>
      <c r="S39" s="20">
        <f t="shared" si="6"/>
        <v>0</v>
      </c>
      <c r="T39" s="20">
        <f t="shared" si="7"/>
        <v>0</v>
      </c>
      <c r="U39" s="20">
        <f>SUMIF('GSTR-2B'!$G:$G,$B39,'GSTR-2B'!U:U)</f>
        <v>0</v>
      </c>
      <c r="V39" s="21"/>
      <c r="W39" s="22" t="str">
        <f>VLOOKUP(A39,'GST Wise Reco'!$A$3:$T$34,20,0)</f>
        <v>Book And 2B Mis-Match</v>
      </c>
      <c r="X39" t="s">
        <v>29</v>
      </c>
      <c r="Y39" t="s">
        <v>29</v>
      </c>
    </row>
    <row r="40" spans="1:25" x14ac:dyDescent="0.3">
      <c r="A40" s="18" t="s">
        <v>67</v>
      </c>
      <c r="B40" s="18" t="s">
        <v>350</v>
      </c>
      <c r="C40" s="18"/>
      <c r="D40" s="18"/>
      <c r="E40" s="20">
        <f>SUMIF(Book!$G:$G,$B40,Book!J:J)</f>
        <v>21258.400000000001</v>
      </c>
      <c r="F40" s="20">
        <f>SUMIF(Book!$G:$G,$B40,Book!L:L)</f>
        <v>3826.51</v>
      </c>
      <c r="G40" s="20">
        <f>SUMIF(Book!$G:$G,$B40,Book!M:M)</f>
        <v>0</v>
      </c>
      <c r="H40" s="20">
        <f>SUMIF(Book!$G:$G,$B40,Book!N:N)</f>
        <v>0</v>
      </c>
      <c r="I40" s="20">
        <f>SUMIF(Book!$G:$G,$B40,Book!O:O)</f>
        <v>0</v>
      </c>
      <c r="J40" s="18"/>
      <c r="K40" s="20">
        <f>SUMIF('GSTR-2B'!$G:$G,$B40,'GSTR-2B'!J:J)</f>
        <v>21258.400000000001</v>
      </c>
      <c r="L40" s="20">
        <f>SUMIF('GSTR-2B'!$G:$G,$B40,'GSTR-2B'!L:L)</f>
        <v>3826.51</v>
      </c>
      <c r="M40" s="20">
        <f>SUMIF('GSTR-2B'!$G:$G,$B40,'GSTR-2B'!M:M)</f>
        <v>0</v>
      </c>
      <c r="N40" s="20">
        <f>SUMIF('GSTR-2B'!$G:$G,$B40,'GSTR-2B'!N:N)</f>
        <v>0</v>
      </c>
      <c r="O40" s="20">
        <f>SUMIF('GSTR-2B'!$G:$G,$B40,'GSTR-2B'!O:O)</f>
        <v>0</v>
      </c>
      <c r="P40" s="20"/>
      <c r="Q40" s="20">
        <f t="shared" si="4"/>
        <v>0</v>
      </c>
      <c r="R40" s="20">
        <f t="shared" si="5"/>
        <v>0</v>
      </c>
      <c r="S40" s="20">
        <f t="shared" si="6"/>
        <v>0</v>
      </c>
      <c r="T40" s="20">
        <f t="shared" si="7"/>
        <v>0</v>
      </c>
      <c r="U40" s="20">
        <f>SUMIF('GSTR-2B'!$G:$G,$B40,'GSTR-2B'!U:U)</f>
        <v>0</v>
      </c>
      <c r="V40" s="21"/>
      <c r="W40" s="22" t="str">
        <f>VLOOKUP(A40,'GST Wise Reco'!$A$3:$T$34,20,0)</f>
        <v>Book And 2B Mis-Match</v>
      </c>
      <c r="X40" t="s">
        <v>29</v>
      </c>
      <c r="Y40" t="s">
        <v>29</v>
      </c>
    </row>
    <row r="41" spans="1:25" x14ac:dyDescent="0.3">
      <c r="A41" s="18" t="s">
        <v>67</v>
      </c>
      <c r="B41" s="18" t="s">
        <v>356</v>
      </c>
      <c r="C41" s="18"/>
      <c r="D41" s="18"/>
      <c r="E41" s="20">
        <f>SUMIF(Book!$G:$G,$B41,Book!J:J)</f>
        <v>20484.759999999998</v>
      </c>
      <c r="F41" s="20">
        <f>SUMIF(Book!$G:$G,$B41,Book!L:L)</f>
        <v>3687.26</v>
      </c>
      <c r="G41" s="20">
        <f>SUMIF(Book!$G:$G,$B41,Book!M:M)</f>
        <v>0</v>
      </c>
      <c r="H41" s="20">
        <f>SUMIF(Book!$G:$G,$B41,Book!N:N)</f>
        <v>0</v>
      </c>
      <c r="I41" s="20">
        <f>SUMIF(Book!$G:$G,$B41,Book!O:O)</f>
        <v>0</v>
      </c>
      <c r="J41" s="18"/>
      <c r="K41" s="20">
        <f>SUMIF('GSTR-2B'!$G:$G,$B41,'GSTR-2B'!J:J)</f>
        <v>20484.759999999998</v>
      </c>
      <c r="L41" s="20">
        <f>SUMIF('GSTR-2B'!$G:$G,$B41,'GSTR-2B'!L:L)</f>
        <v>3687.26</v>
      </c>
      <c r="M41" s="20">
        <f>SUMIF('GSTR-2B'!$G:$G,$B41,'GSTR-2B'!M:M)</f>
        <v>0</v>
      </c>
      <c r="N41" s="20">
        <f>SUMIF('GSTR-2B'!$G:$G,$B41,'GSTR-2B'!N:N)</f>
        <v>0</v>
      </c>
      <c r="O41" s="20">
        <f>SUMIF('GSTR-2B'!$G:$G,$B41,'GSTR-2B'!O:O)</f>
        <v>0</v>
      </c>
      <c r="P41" s="20"/>
      <c r="Q41" s="20">
        <f t="shared" si="4"/>
        <v>0</v>
      </c>
      <c r="R41" s="20">
        <f t="shared" si="5"/>
        <v>0</v>
      </c>
      <c r="S41" s="20">
        <f t="shared" si="6"/>
        <v>0</v>
      </c>
      <c r="T41" s="20">
        <f t="shared" si="7"/>
        <v>0</v>
      </c>
      <c r="U41" s="20">
        <f>SUMIF('GSTR-2B'!$G:$G,$B41,'GSTR-2B'!U:U)</f>
        <v>0</v>
      </c>
      <c r="V41" s="21"/>
      <c r="W41" s="22" t="str">
        <f>VLOOKUP(A41,'GST Wise Reco'!$A$3:$T$34,20,0)</f>
        <v>Book And 2B Mis-Match</v>
      </c>
      <c r="X41" t="s">
        <v>29</v>
      </c>
      <c r="Y41" t="s">
        <v>29</v>
      </c>
    </row>
    <row r="42" spans="1:25" x14ac:dyDescent="0.3">
      <c r="A42" s="18" t="s">
        <v>67</v>
      </c>
      <c r="B42" s="18" t="s">
        <v>365</v>
      </c>
      <c r="C42" s="18"/>
      <c r="D42" s="18"/>
      <c r="E42" s="20">
        <f>SUMIF(Book!$G:$G,$B42,Book!J:J)</f>
        <v>22552.34</v>
      </c>
      <c r="F42" s="20">
        <f>SUMIF(Book!$G:$G,$B42,Book!L:L)</f>
        <v>4059.42</v>
      </c>
      <c r="G42" s="20">
        <f>SUMIF(Book!$G:$G,$B42,Book!M:M)</f>
        <v>0</v>
      </c>
      <c r="H42" s="20">
        <f>SUMIF(Book!$G:$G,$B42,Book!N:N)</f>
        <v>0</v>
      </c>
      <c r="I42" s="20">
        <f>SUMIF(Book!$G:$G,$B42,Book!O:O)</f>
        <v>0</v>
      </c>
      <c r="J42" s="18"/>
      <c r="K42" s="20">
        <f>SUMIF('GSTR-2B'!$G:$G,$B42,'GSTR-2B'!J:J)</f>
        <v>22552.34</v>
      </c>
      <c r="L42" s="20">
        <f>SUMIF('GSTR-2B'!$G:$G,$B42,'GSTR-2B'!L:L)</f>
        <v>4059.42</v>
      </c>
      <c r="M42" s="20">
        <f>SUMIF('GSTR-2B'!$G:$G,$B42,'GSTR-2B'!M:M)</f>
        <v>0</v>
      </c>
      <c r="N42" s="20">
        <f>SUMIF('GSTR-2B'!$G:$G,$B42,'GSTR-2B'!N:N)</f>
        <v>0</v>
      </c>
      <c r="O42" s="20">
        <f>SUMIF('GSTR-2B'!$G:$G,$B42,'GSTR-2B'!O:O)</f>
        <v>0</v>
      </c>
      <c r="P42" s="20"/>
      <c r="Q42" s="20">
        <f t="shared" si="4"/>
        <v>0</v>
      </c>
      <c r="R42" s="20">
        <f t="shared" si="5"/>
        <v>0</v>
      </c>
      <c r="S42" s="20">
        <f t="shared" si="6"/>
        <v>0</v>
      </c>
      <c r="T42" s="20">
        <f t="shared" si="7"/>
        <v>0</v>
      </c>
      <c r="U42" s="20">
        <f>SUMIF('GSTR-2B'!$G:$G,$B42,'GSTR-2B'!U:U)</f>
        <v>0</v>
      </c>
      <c r="V42" s="21"/>
      <c r="W42" s="22" t="str">
        <f>VLOOKUP(A42,'GST Wise Reco'!$A$3:$T$34,20,0)</f>
        <v>Book And 2B Mis-Match</v>
      </c>
      <c r="X42" t="s">
        <v>29</v>
      </c>
      <c r="Y42" t="s">
        <v>29</v>
      </c>
    </row>
    <row r="43" spans="1:25" x14ac:dyDescent="0.3">
      <c r="A43" s="18" t="s">
        <v>67</v>
      </c>
      <c r="B43" s="18" t="s">
        <v>377</v>
      </c>
      <c r="C43" s="18"/>
      <c r="D43" s="18"/>
      <c r="E43" s="20">
        <f>SUMIF(Book!$G:$G,$B43,Book!J:J)</f>
        <v>28629.43</v>
      </c>
      <c r="F43" s="20">
        <f>SUMIF(Book!$G:$G,$B43,Book!L:L)</f>
        <v>5153.3</v>
      </c>
      <c r="G43" s="20">
        <f>SUMIF(Book!$G:$G,$B43,Book!M:M)</f>
        <v>0</v>
      </c>
      <c r="H43" s="20">
        <f>SUMIF(Book!$G:$G,$B43,Book!N:N)</f>
        <v>0</v>
      </c>
      <c r="I43" s="20">
        <f>SUMIF(Book!$G:$G,$B43,Book!O:O)</f>
        <v>0</v>
      </c>
      <c r="J43" s="18"/>
      <c r="K43" s="20">
        <f>SUMIF('GSTR-2B'!$G:$G,$B43,'GSTR-2B'!J:J)</f>
        <v>28629.43</v>
      </c>
      <c r="L43" s="20">
        <f>SUMIF('GSTR-2B'!$G:$G,$B43,'GSTR-2B'!L:L)</f>
        <v>5153.3</v>
      </c>
      <c r="M43" s="20">
        <f>SUMIF('GSTR-2B'!$G:$G,$B43,'GSTR-2B'!M:M)</f>
        <v>0</v>
      </c>
      <c r="N43" s="20">
        <f>SUMIF('GSTR-2B'!$G:$G,$B43,'GSTR-2B'!N:N)</f>
        <v>0</v>
      </c>
      <c r="O43" s="20">
        <f>SUMIF('GSTR-2B'!$G:$G,$B43,'GSTR-2B'!O:O)</f>
        <v>0</v>
      </c>
      <c r="P43" s="20"/>
      <c r="Q43" s="20">
        <f t="shared" si="4"/>
        <v>0</v>
      </c>
      <c r="R43" s="20">
        <f t="shared" si="5"/>
        <v>0</v>
      </c>
      <c r="S43" s="20">
        <f t="shared" si="6"/>
        <v>0</v>
      </c>
      <c r="T43" s="20">
        <f t="shared" si="7"/>
        <v>0</v>
      </c>
      <c r="U43" s="20">
        <f>SUMIF('GSTR-2B'!$G:$G,$B43,'GSTR-2B'!U:U)</f>
        <v>0</v>
      </c>
      <c r="V43" s="21"/>
      <c r="W43" s="22" t="str">
        <f>VLOOKUP(A43,'GST Wise Reco'!$A$3:$T$34,20,0)</f>
        <v>Book And 2B Mis-Match</v>
      </c>
      <c r="X43" t="s">
        <v>29</v>
      </c>
      <c r="Y43" t="s">
        <v>29</v>
      </c>
    </row>
    <row r="44" spans="1:25" x14ac:dyDescent="0.3">
      <c r="A44" s="18" t="s">
        <v>67</v>
      </c>
      <c r="B44" s="18" t="s">
        <v>385</v>
      </c>
      <c r="C44" s="18"/>
      <c r="D44" s="18"/>
      <c r="E44" s="20">
        <f>SUMIF(Book!$G:$G,$B44,Book!J:J)</f>
        <v>33090.19</v>
      </c>
      <c r="F44" s="20">
        <f>SUMIF(Book!$G:$G,$B44,Book!L:L)</f>
        <v>5956.23</v>
      </c>
      <c r="G44" s="20">
        <f>SUMIF(Book!$G:$G,$B44,Book!M:M)</f>
        <v>0</v>
      </c>
      <c r="H44" s="20">
        <f>SUMIF(Book!$G:$G,$B44,Book!N:N)</f>
        <v>0</v>
      </c>
      <c r="I44" s="20">
        <f>SUMIF(Book!$G:$G,$B44,Book!O:O)</f>
        <v>0</v>
      </c>
      <c r="J44" s="18"/>
      <c r="K44" s="20">
        <f>SUMIF('GSTR-2B'!$G:$G,$B44,'GSTR-2B'!J:J)</f>
        <v>33090.19</v>
      </c>
      <c r="L44" s="20">
        <f>SUMIF('GSTR-2B'!$G:$G,$B44,'GSTR-2B'!L:L)</f>
        <v>5956.23</v>
      </c>
      <c r="M44" s="20">
        <f>SUMIF('GSTR-2B'!$G:$G,$B44,'GSTR-2B'!M:M)</f>
        <v>0</v>
      </c>
      <c r="N44" s="20">
        <f>SUMIF('GSTR-2B'!$G:$G,$B44,'GSTR-2B'!N:N)</f>
        <v>0</v>
      </c>
      <c r="O44" s="20">
        <f>SUMIF('GSTR-2B'!$G:$G,$B44,'GSTR-2B'!O:O)</f>
        <v>0</v>
      </c>
      <c r="P44" s="20"/>
      <c r="Q44" s="20">
        <f t="shared" si="4"/>
        <v>0</v>
      </c>
      <c r="R44" s="20">
        <f t="shared" si="5"/>
        <v>0</v>
      </c>
      <c r="S44" s="20">
        <f t="shared" si="6"/>
        <v>0</v>
      </c>
      <c r="T44" s="20">
        <f t="shared" si="7"/>
        <v>0</v>
      </c>
      <c r="U44" s="20">
        <f>SUMIF('GSTR-2B'!$G:$G,$B44,'GSTR-2B'!U:U)</f>
        <v>0</v>
      </c>
      <c r="V44" s="21"/>
      <c r="W44" s="22" t="str">
        <f>VLOOKUP(A44,'GST Wise Reco'!$A$3:$T$34,20,0)</f>
        <v>Book And 2B Mis-Match</v>
      </c>
      <c r="X44" t="s">
        <v>29</v>
      </c>
      <c r="Y44" t="s">
        <v>29</v>
      </c>
    </row>
    <row r="45" spans="1:25" x14ac:dyDescent="0.3">
      <c r="A45" s="18" t="s">
        <v>67</v>
      </c>
      <c r="B45" s="18" t="s">
        <v>395</v>
      </c>
      <c r="C45" s="18"/>
      <c r="D45" s="18"/>
      <c r="E45" s="20">
        <f>SUMIF(Book!$G:$G,$B45,Book!J:J)</f>
        <v>27307.54</v>
      </c>
      <c r="F45" s="20">
        <f>SUMIF(Book!$G:$G,$B45,Book!L:L)</f>
        <v>4915.3599999999997</v>
      </c>
      <c r="G45" s="20">
        <f>SUMIF(Book!$G:$G,$B45,Book!M:M)</f>
        <v>0</v>
      </c>
      <c r="H45" s="20">
        <f>SUMIF(Book!$G:$G,$B45,Book!N:N)</f>
        <v>0</v>
      </c>
      <c r="I45" s="20">
        <f>SUMIF(Book!$G:$G,$B45,Book!O:O)</f>
        <v>0</v>
      </c>
      <c r="J45" s="18"/>
      <c r="K45" s="20">
        <f>SUMIF('GSTR-2B'!$G:$G,$B45,'GSTR-2B'!J:J)</f>
        <v>0</v>
      </c>
      <c r="L45" s="20">
        <f>SUMIF('GSTR-2B'!$G:$G,$B45,'GSTR-2B'!L:L)</f>
        <v>0</v>
      </c>
      <c r="M45" s="20">
        <f>SUMIF('GSTR-2B'!$G:$G,$B45,'GSTR-2B'!M:M)</f>
        <v>0</v>
      </c>
      <c r="N45" s="20">
        <f>SUMIF('GSTR-2B'!$G:$G,$B45,'GSTR-2B'!N:N)</f>
        <v>0</v>
      </c>
      <c r="O45" s="20">
        <f>SUMIF('GSTR-2B'!$G:$G,$B45,'GSTR-2B'!O:O)</f>
        <v>0</v>
      </c>
      <c r="P45" s="20"/>
      <c r="Q45" s="20">
        <f t="shared" si="4"/>
        <v>27307.54</v>
      </c>
      <c r="R45" s="20">
        <f t="shared" si="5"/>
        <v>4915.3599999999997</v>
      </c>
      <c r="S45" s="20">
        <f t="shared" si="6"/>
        <v>0</v>
      </c>
      <c r="T45" s="20">
        <f t="shared" si="7"/>
        <v>0</v>
      </c>
      <c r="U45" s="20">
        <f>SUMIF('GSTR-2B'!$G:$G,$B45,'GSTR-2B'!U:U)</f>
        <v>0</v>
      </c>
      <c r="V45" s="21"/>
      <c r="W45" s="22" t="str">
        <f>VLOOKUP(A45,'GST Wise Reco'!$A$3:$T$34,20,0)</f>
        <v>Book And 2B Mis-Match</v>
      </c>
      <c r="X45" t="s">
        <v>483</v>
      </c>
      <c r="Y45" t="s">
        <v>483</v>
      </c>
    </row>
    <row r="46" spans="1:25" x14ac:dyDescent="0.3">
      <c r="A46" s="18" t="s">
        <v>253</v>
      </c>
      <c r="B46" s="18" t="s">
        <v>458</v>
      </c>
      <c r="C46" s="18"/>
      <c r="D46" s="18"/>
      <c r="E46" s="20">
        <f>SUMIF(Book!$G:$G,$B46,Book!J:J)</f>
        <v>0</v>
      </c>
      <c r="F46" s="20">
        <f>SUMIF(Book!$G:$G,$B46,Book!L:L)</f>
        <v>0</v>
      </c>
      <c r="G46" s="20">
        <f>SUMIF(Book!$G:$G,$B46,Book!M:M)</f>
        <v>0</v>
      </c>
      <c r="H46" s="20">
        <f>SUMIF(Book!$G:$G,$B46,Book!N:N)</f>
        <v>0</v>
      </c>
      <c r="I46" s="20">
        <f>SUMIF(Book!$G:$G,$B46,Book!O:O)</f>
        <v>0</v>
      </c>
      <c r="J46" s="18"/>
      <c r="K46" s="20">
        <f>SUMIF('GSTR-2B'!$G:$G,$B46,'GSTR-2B'!J:J)</f>
        <v>250000</v>
      </c>
      <c r="L46" s="20">
        <f>SUMIF('GSTR-2B'!$G:$G,$B46,'GSTR-2B'!L:L)</f>
        <v>45000</v>
      </c>
      <c r="M46" s="20">
        <f>SUMIF('GSTR-2B'!$G:$G,$B46,'GSTR-2B'!M:M)</f>
        <v>0</v>
      </c>
      <c r="N46" s="20">
        <f>SUMIF('GSTR-2B'!$G:$G,$B46,'GSTR-2B'!N:N)</f>
        <v>0</v>
      </c>
      <c r="O46" s="20">
        <f>SUMIF('GSTR-2B'!$G:$G,$B46,'GSTR-2B'!O:O)</f>
        <v>0</v>
      </c>
      <c r="P46" s="20"/>
      <c r="Q46" s="20">
        <f t="shared" si="4"/>
        <v>-250000</v>
      </c>
      <c r="R46" s="20">
        <f t="shared" si="5"/>
        <v>-45000</v>
      </c>
      <c r="S46" s="20">
        <f t="shared" si="6"/>
        <v>0</v>
      </c>
      <c r="T46" s="20">
        <f t="shared" si="7"/>
        <v>0</v>
      </c>
      <c r="U46" s="20">
        <f>SUMIF('GSTR-2B'!$G:$G,$B46,'GSTR-2B'!U:U)</f>
        <v>0</v>
      </c>
      <c r="V46" s="21"/>
      <c r="W46" s="22" t="str">
        <f>VLOOKUP(A46,'GST Wise Reco'!$A$3:$T$34,20,0)</f>
        <v>Book And 2B Match</v>
      </c>
      <c r="X46" t="s">
        <v>485</v>
      </c>
      <c r="Y46" t="s">
        <v>485</v>
      </c>
    </row>
    <row r="47" spans="1:25" x14ac:dyDescent="0.3">
      <c r="A47" s="18" t="s">
        <v>253</v>
      </c>
      <c r="B47" s="18" t="s">
        <v>475</v>
      </c>
      <c r="C47" s="18"/>
      <c r="D47" s="18"/>
      <c r="E47" s="20">
        <f>SUMIF(Book!$G:$G,$B47,Book!J:J)</f>
        <v>0</v>
      </c>
      <c r="F47" s="20">
        <f>SUMIF(Book!$G:$G,$B47,Book!L:L)</f>
        <v>0</v>
      </c>
      <c r="G47" s="20">
        <f>SUMIF(Book!$G:$G,$B47,Book!M:M)</f>
        <v>0</v>
      </c>
      <c r="H47" s="20">
        <f>SUMIF(Book!$G:$G,$B47,Book!N:N)</f>
        <v>0</v>
      </c>
      <c r="I47" s="20">
        <f>SUMIF(Book!$G:$G,$B47,Book!O:O)</f>
        <v>0</v>
      </c>
      <c r="J47" s="18"/>
      <c r="K47" s="20">
        <f>SUMIF('GSTR-2B'!$G:$G,$B47,'GSTR-2B'!J:J)</f>
        <v>-250000</v>
      </c>
      <c r="L47" s="20">
        <f>SUMIF('GSTR-2B'!$G:$G,$B47,'GSTR-2B'!L:L)</f>
        <v>-45000</v>
      </c>
      <c r="M47" s="20">
        <f>SUMIF('GSTR-2B'!$G:$G,$B47,'GSTR-2B'!M:M)</f>
        <v>0</v>
      </c>
      <c r="N47" s="20">
        <f>SUMIF('GSTR-2B'!$G:$G,$B47,'GSTR-2B'!N:N)</f>
        <v>0</v>
      </c>
      <c r="O47" s="20">
        <f>SUMIF('GSTR-2B'!$G:$G,$B47,'GSTR-2B'!O:O)</f>
        <v>0</v>
      </c>
      <c r="P47" s="20"/>
      <c r="Q47" s="20">
        <f t="shared" si="4"/>
        <v>250000</v>
      </c>
      <c r="R47" s="20">
        <f t="shared" si="5"/>
        <v>45000</v>
      </c>
      <c r="S47" s="20">
        <f t="shared" si="6"/>
        <v>0</v>
      </c>
      <c r="T47" s="20">
        <f t="shared" si="7"/>
        <v>0</v>
      </c>
      <c r="U47" s="20">
        <f>SUMIF('GSTR-2B'!$G:$G,$B47,'GSTR-2B'!U:U)</f>
        <v>0</v>
      </c>
      <c r="V47" s="21"/>
      <c r="W47" s="22" t="str">
        <f>VLOOKUP(A47,'GST Wise Reco'!$A$3:$T$34,20,0)</f>
        <v>Book And 2B Match</v>
      </c>
      <c r="X47" t="s">
        <v>485</v>
      </c>
      <c r="Y47" t="s">
        <v>485</v>
      </c>
    </row>
    <row r="48" spans="1:25" x14ac:dyDescent="0.3">
      <c r="A48" s="18" t="s">
        <v>64</v>
      </c>
      <c r="B48" s="18" t="s">
        <v>303</v>
      </c>
      <c r="C48" s="18"/>
      <c r="D48" s="18"/>
      <c r="E48" s="20">
        <f>SUMIF(Book!$G:$G,$B48,Book!J:J)</f>
        <v>2531014.9300000002</v>
      </c>
      <c r="F48" s="20">
        <f>SUMIF(Book!$G:$G,$B48,Book!L:L)</f>
        <v>455582.69</v>
      </c>
      <c r="G48" s="20">
        <f>SUMIF(Book!$G:$G,$B48,Book!M:M)</f>
        <v>0</v>
      </c>
      <c r="H48" s="20">
        <f>SUMIF(Book!$G:$G,$B48,Book!N:N)</f>
        <v>0</v>
      </c>
      <c r="I48" s="20">
        <f>SUMIF(Book!$G:$G,$B48,Book!O:O)</f>
        <v>0</v>
      </c>
      <c r="J48" s="18"/>
      <c r="K48" s="20">
        <f>SUMIF('GSTR-2B'!$G:$G,$B48,'GSTR-2B'!J:J)</f>
        <v>2531014.9300000002</v>
      </c>
      <c r="L48" s="20">
        <f>SUMIF('GSTR-2B'!$G:$G,$B48,'GSTR-2B'!L:L)</f>
        <v>455582.69</v>
      </c>
      <c r="M48" s="20">
        <f>SUMIF('GSTR-2B'!$G:$G,$B48,'GSTR-2B'!M:M)</f>
        <v>0</v>
      </c>
      <c r="N48" s="20">
        <f>SUMIF('GSTR-2B'!$G:$G,$B48,'GSTR-2B'!N:N)</f>
        <v>0</v>
      </c>
      <c r="O48" s="20">
        <f>SUMIF('GSTR-2B'!$G:$G,$B48,'GSTR-2B'!O:O)</f>
        <v>0</v>
      </c>
      <c r="P48" s="20"/>
      <c r="Q48" s="20">
        <f t="shared" si="4"/>
        <v>0</v>
      </c>
      <c r="R48" s="20">
        <f t="shared" si="5"/>
        <v>0</v>
      </c>
      <c r="S48" s="20">
        <f t="shared" si="6"/>
        <v>0</v>
      </c>
      <c r="T48" s="20">
        <f t="shared" si="7"/>
        <v>0</v>
      </c>
      <c r="U48" s="20">
        <f>SUMIF('GSTR-2B'!$G:$G,$B48,'GSTR-2B'!U:U)</f>
        <v>0</v>
      </c>
      <c r="V48" s="21"/>
      <c r="W48" s="22" t="str">
        <f>VLOOKUP(A48,'GST Wise Reco'!$A$3:$T$34,20,0)</f>
        <v>Book And 2B Match</v>
      </c>
      <c r="X48" t="s">
        <v>29</v>
      </c>
      <c r="Y48" t="s">
        <v>29</v>
      </c>
    </row>
    <row r="49" spans="1:25" x14ac:dyDescent="0.3">
      <c r="A49" s="18" t="s">
        <v>64</v>
      </c>
      <c r="B49" s="18" t="s">
        <v>311</v>
      </c>
      <c r="C49" s="18"/>
      <c r="D49" s="18"/>
      <c r="E49" s="20">
        <f>SUMIF(Book!$G:$G,$B49,Book!J:J)</f>
        <v>2906154.11</v>
      </c>
      <c r="F49" s="20">
        <f>SUMIF(Book!$G:$G,$B49,Book!L:L)</f>
        <v>523107.74</v>
      </c>
      <c r="G49" s="20">
        <f>SUMIF(Book!$G:$G,$B49,Book!M:M)</f>
        <v>0</v>
      </c>
      <c r="H49" s="20">
        <f>SUMIF(Book!$G:$G,$B49,Book!N:N)</f>
        <v>0</v>
      </c>
      <c r="I49" s="20">
        <f>SUMIF(Book!$G:$G,$B49,Book!O:O)</f>
        <v>0</v>
      </c>
      <c r="J49" s="18"/>
      <c r="K49" s="20">
        <f>SUMIF('GSTR-2B'!$G:$G,$B49,'GSTR-2B'!J:J)</f>
        <v>2906154.11</v>
      </c>
      <c r="L49" s="20">
        <f>SUMIF('GSTR-2B'!$G:$G,$B49,'GSTR-2B'!L:L)</f>
        <v>523107.74</v>
      </c>
      <c r="M49" s="20">
        <f>SUMIF('GSTR-2B'!$G:$G,$B49,'GSTR-2B'!M:M)</f>
        <v>0</v>
      </c>
      <c r="N49" s="20">
        <f>SUMIF('GSTR-2B'!$G:$G,$B49,'GSTR-2B'!N:N)</f>
        <v>0</v>
      </c>
      <c r="O49" s="20">
        <f>SUMIF('GSTR-2B'!$G:$G,$B49,'GSTR-2B'!O:O)</f>
        <v>0</v>
      </c>
      <c r="P49" s="20"/>
      <c r="Q49" s="20">
        <f t="shared" si="4"/>
        <v>0</v>
      </c>
      <c r="R49" s="20">
        <f t="shared" si="5"/>
        <v>0</v>
      </c>
      <c r="S49" s="20">
        <f t="shared" si="6"/>
        <v>0</v>
      </c>
      <c r="T49" s="20">
        <f t="shared" si="7"/>
        <v>0</v>
      </c>
      <c r="U49" s="20">
        <f>SUMIF('GSTR-2B'!$G:$G,$B49,'GSTR-2B'!U:U)</f>
        <v>0</v>
      </c>
      <c r="V49" s="21"/>
      <c r="W49" s="22" t="str">
        <f>VLOOKUP(A49,'GST Wise Reco'!$A$3:$T$34,20,0)</f>
        <v>Book And 2B Match</v>
      </c>
      <c r="X49" t="s">
        <v>29</v>
      </c>
      <c r="Y49" t="s">
        <v>29</v>
      </c>
    </row>
    <row r="50" spans="1:25" x14ac:dyDescent="0.3">
      <c r="A50" s="18" t="s">
        <v>64</v>
      </c>
      <c r="B50" s="18" t="s">
        <v>319</v>
      </c>
      <c r="C50" s="18"/>
      <c r="D50" s="18"/>
      <c r="E50" s="20">
        <f>SUMIF(Book!$G:$G,$B50,Book!J:J)</f>
        <v>78856.03</v>
      </c>
      <c r="F50" s="20">
        <f>SUMIF(Book!$G:$G,$B50,Book!L:L)</f>
        <v>14194.09</v>
      </c>
      <c r="G50" s="20">
        <f>SUMIF(Book!$G:$G,$B50,Book!M:M)</f>
        <v>0</v>
      </c>
      <c r="H50" s="20">
        <f>SUMIF(Book!$G:$G,$B50,Book!N:N)</f>
        <v>0</v>
      </c>
      <c r="I50" s="20">
        <f>SUMIF(Book!$G:$G,$B50,Book!O:O)</f>
        <v>0</v>
      </c>
      <c r="J50" s="18"/>
      <c r="K50" s="20">
        <f>SUMIF('GSTR-2B'!$G:$G,$B50,'GSTR-2B'!J:J)</f>
        <v>78856.03</v>
      </c>
      <c r="L50" s="20">
        <f>SUMIF('GSTR-2B'!$G:$G,$B50,'GSTR-2B'!L:L)</f>
        <v>14194.09</v>
      </c>
      <c r="M50" s="20">
        <f>SUMIF('GSTR-2B'!$G:$G,$B50,'GSTR-2B'!M:M)</f>
        <v>0</v>
      </c>
      <c r="N50" s="20">
        <f>SUMIF('GSTR-2B'!$G:$G,$B50,'GSTR-2B'!N:N)</f>
        <v>0</v>
      </c>
      <c r="O50" s="20">
        <f>SUMIF('GSTR-2B'!$G:$G,$B50,'GSTR-2B'!O:O)</f>
        <v>0</v>
      </c>
      <c r="P50" s="20"/>
      <c r="Q50" s="20">
        <f t="shared" si="4"/>
        <v>0</v>
      </c>
      <c r="R50" s="20">
        <f t="shared" si="5"/>
        <v>0</v>
      </c>
      <c r="S50" s="20">
        <f t="shared" si="6"/>
        <v>0</v>
      </c>
      <c r="T50" s="20">
        <f t="shared" si="7"/>
        <v>0</v>
      </c>
      <c r="U50" s="20">
        <f>SUMIF('GSTR-2B'!$G:$G,$B50,'GSTR-2B'!U:U)</f>
        <v>0</v>
      </c>
      <c r="V50" s="21"/>
      <c r="W50" s="22" t="str">
        <f>VLOOKUP(A50,'GST Wise Reco'!$A$3:$T$34,20,0)</f>
        <v>Book And 2B Match</v>
      </c>
      <c r="X50" t="s">
        <v>29</v>
      </c>
      <c r="Y50" t="s">
        <v>29</v>
      </c>
    </row>
    <row r="51" spans="1:25" x14ac:dyDescent="0.3">
      <c r="A51" s="18" t="s">
        <v>64</v>
      </c>
      <c r="B51" s="18" t="s">
        <v>326</v>
      </c>
      <c r="C51" s="18"/>
      <c r="D51" s="18"/>
      <c r="E51" s="20">
        <f>SUMIF(Book!$G:$G,$B51,Book!J:J)</f>
        <v>379337.12</v>
      </c>
      <c r="F51" s="20">
        <f>SUMIF(Book!$G:$G,$B51,Book!L:L)</f>
        <v>68280.679999999993</v>
      </c>
      <c r="G51" s="20">
        <f>SUMIF(Book!$G:$G,$B51,Book!M:M)</f>
        <v>0</v>
      </c>
      <c r="H51" s="20">
        <f>SUMIF(Book!$G:$G,$B51,Book!N:N)</f>
        <v>0</v>
      </c>
      <c r="I51" s="20">
        <f>SUMIF(Book!$G:$G,$B51,Book!O:O)</f>
        <v>0</v>
      </c>
      <c r="J51" s="18"/>
      <c r="K51" s="20">
        <f>SUMIF('GSTR-2B'!$G:$G,$B51,'GSTR-2B'!J:J)</f>
        <v>379337.12</v>
      </c>
      <c r="L51" s="20">
        <f>SUMIF('GSTR-2B'!$G:$G,$B51,'GSTR-2B'!L:L)</f>
        <v>68280.679999999993</v>
      </c>
      <c r="M51" s="20">
        <f>SUMIF('GSTR-2B'!$G:$G,$B51,'GSTR-2B'!M:M)</f>
        <v>0</v>
      </c>
      <c r="N51" s="20">
        <f>SUMIF('GSTR-2B'!$G:$G,$B51,'GSTR-2B'!N:N)</f>
        <v>0</v>
      </c>
      <c r="O51" s="20">
        <f>SUMIF('GSTR-2B'!$G:$G,$B51,'GSTR-2B'!O:O)</f>
        <v>0</v>
      </c>
      <c r="P51" s="20"/>
      <c r="Q51" s="20">
        <f t="shared" si="4"/>
        <v>0</v>
      </c>
      <c r="R51" s="20">
        <f t="shared" si="5"/>
        <v>0</v>
      </c>
      <c r="S51" s="20">
        <f t="shared" si="6"/>
        <v>0</v>
      </c>
      <c r="T51" s="20">
        <f t="shared" si="7"/>
        <v>0</v>
      </c>
      <c r="U51" s="20">
        <f>SUMIF('GSTR-2B'!$G:$G,$B51,'GSTR-2B'!U:U)</f>
        <v>0</v>
      </c>
      <c r="V51" s="21"/>
      <c r="W51" s="22" t="str">
        <f>VLOOKUP(A51,'GST Wise Reco'!$A$3:$T$34,20,0)</f>
        <v>Book And 2B Match</v>
      </c>
      <c r="X51" t="s">
        <v>29</v>
      </c>
      <c r="Y51" t="s">
        <v>29</v>
      </c>
    </row>
    <row r="52" spans="1:25" x14ac:dyDescent="0.3">
      <c r="A52" s="18" t="s">
        <v>64</v>
      </c>
      <c r="B52" s="18" t="s">
        <v>334</v>
      </c>
      <c r="C52" s="18"/>
      <c r="D52" s="18"/>
      <c r="E52" s="20">
        <f>SUMIF(Book!$G:$G,$B52,Book!J:J)</f>
        <v>23771.759999999998</v>
      </c>
      <c r="F52" s="20">
        <f>SUMIF(Book!$G:$G,$B52,Book!L:L)</f>
        <v>4278.92</v>
      </c>
      <c r="G52" s="20">
        <f>SUMIF(Book!$G:$G,$B52,Book!M:M)</f>
        <v>0</v>
      </c>
      <c r="H52" s="20">
        <f>SUMIF(Book!$G:$G,$B52,Book!N:N)</f>
        <v>0</v>
      </c>
      <c r="I52" s="20">
        <f>SUMIF(Book!$G:$G,$B52,Book!O:O)</f>
        <v>0</v>
      </c>
      <c r="J52" s="18"/>
      <c r="K52" s="20">
        <f>SUMIF('GSTR-2B'!$G:$G,$B52,'GSTR-2B'!J:J)</f>
        <v>23771.759999999998</v>
      </c>
      <c r="L52" s="20">
        <f>SUMIF('GSTR-2B'!$G:$G,$B52,'GSTR-2B'!L:L)</f>
        <v>4278.92</v>
      </c>
      <c r="M52" s="20">
        <f>SUMIF('GSTR-2B'!$G:$G,$B52,'GSTR-2B'!M:M)</f>
        <v>0</v>
      </c>
      <c r="N52" s="20">
        <f>SUMIF('GSTR-2B'!$G:$G,$B52,'GSTR-2B'!N:N)</f>
        <v>0</v>
      </c>
      <c r="O52" s="20">
        <f>SUMIF('GSTR-2B'!$G:$G,$B52,'GSTR-2B'!O:O)</f>
        <v>0</v>
      </c>
      <c r="P52" s="20"/>
      <c r="Q52" s="20">
        <f t="shared" si="4"/>
        <v>0</v>
      </c>
      <c r="R52" s="20">
        <f t="shared" si="5"/>
        <v>0</v>
      </c>
      <c r="S52" s="20">
        <f t="shared" si="6"/>
        <v>0</v>
      </c>
      <c r="T52" s="20">
        <f t="shared" si="7"/>
        <v>0</v>
      </c>
      <c r="U52" s="20">
        <f>SUMIF('GSTR-2B'!$G:$G,$B52,'GSTR-2B'!U:U)</f>
        <v>0</v>
      </c>
      <c r="V52" s="21"/>
      <c r="W52" s="22" t="str">
        <f>VLOOKUP(A52,'GST Wise Reco'!$A$3:$T$34,20,0)</f>
        <v>Book And 2B Match</v>
      </c>
      <c r="X52" t="s">
        <v>29</v>
      </c>
      <c r="Y52" t="s">
        <v>29</v>
      </c>
    </row>
    <row r="53" spans="1:25" x14ac:dyDescent="0.3">
      <c r="A53" s="18" t="s">
        <v>64</v>
      </c>
      <c r="B53" s="18" t="s">
        <v>376</v>
      </c>
      <c r="C53" s="18"/>
      <c r="D53" s="18"/>
      <c r="E53" s="20">
        <f>SUMIF(Book!$G:$G,$B53,Book!J:J)</f>
        <v>53326.8</v>
      </c>
      <c r="F53" s="20">
        <f>SUMIF(Book!$G:$G,$B53,Book!L:L)</f>
        <v>9598.82</v>
      </c>
      <c r="G53" s="20">
        <f>SUMIF(Book!$G:$G,$B53,Book!M:M)</f>
        <v>0</v>
      </c>
      <c r="H53" s="20">
        <f>SUMIF(Book!$G:$G,$B53,Book!N:N)</f>
        <v>0</v>
      </c>
      <c r="I53" s="20">
        <f>SUMIF(Book!$G:$G,$B53,Book!O:O)</f>
        <v>0</v>
      </c>
      <c r="J53" s="18"/>
      <c r="K53" s="20">
        <f>SUMIF('GSTR-2B'!$G:$G,$B53,'GSTR-2B'!J:J)</f>
        <v>53326.8</v>
      </c>
      <c r="L53" s="20">
        <f>SUMIF('GSTR-2B'!$G:$G,$B53,'GSTR-2B'!L:L)</f>
        <v>9598.82</v>
      </c>
      <c r="M53" s="20">
        <f>SUMIF('GSTR-2B'!$G:$G,$B53,'GSTR-2B'!M:M)</f>
        <v>0</v>
      </c>
      <c r="N53" s="20">
        <f>SUMIF('GSTR-2B'!$G:$G,$B53,'GSTR-2B'!N:N)</f>
        <v>0</v>
      </c>
      <c r="O53" s="20">
        <f>SUMIF('GSTR-2B'!$G:$G,$B53,'GSTR-2B'!O:O)</f>
        <v>0</v>
      </c>
      <c r="P53" s="20"/>
      <c r="Q53" s="20">
        <f t="shared" si="4"/>
        <v>0</v>
      </c>
      <c r="R53" s="20">
        <f t="shared" si="5"/>
        <v>0</v>
      </c>
      <c r="S53" s="20">
        <f t="shared" si="6"/>
        <v>0</v>
      </c>
      <c r="T53" s="20">
        <f t="shared" si="7"/>
        <v>0</v>
      </c>
      <c r="U53" s="20">
        <f>SUMIF('GSTR-2B'!$G:$G,$B53,'GSTR-2B'!U:U)</f>
        <v>0</v>
      </c>
      <c r="V53" s="21"/>
      <c r="W53" s="22" t="str">
        <f>VLOOKUP(A53,'GST Wise Reco'!$A$3:$T$34,20,0)</f>
        <v>Book And 2B Match</v>
      </c>
      <c r="X53" t="s">
        <v>29</v>
      </c>
      <c r="Y53" t="s">
        <v>29</v>
      </c>
    </row>
    <row r="54" spans="1:25" x14ac:dyDescent="0.3">
      <c r="A54" s="18" t="s">
        <v>64</v>
      </c>
      <c r="B54" s="18" t="s">
        <v>381</v>
      </c>
      <c r="C54" s="18"/>
      <c r="D54" s="18"/>
      <c r="E54" s="20">
        <f>SUMIF(Book!$G:$G,$B54,Book!J:J)</f>
        <v>44415.44</v>
      </c>
      <c r="F54" s="20">
        <f>SUMIF(Book!$G:$G,$B54,Book!L:L)</f>
        <v>7994.78</v>
      </c>
      <c r="G54" s="20">
        <f>SUMIF(Book!$G:$G,$B54,Book!M:M)</f>
        <v>0</v>
      </c>
      <c r="H54" s="20">
        <f>SUMIF(Book!$G:$G,$B54,Book!N:N)</f>
        <v>0</v>
      </c>
      <c r="I54" s="20">
        <f>SUMIF(Book!$G:$G,$B54,Book!O:O)</f>
        <v>0</v>
      </c>
      <c r="J54" s="18"/>
      <c r="K54" s="20">
        <f>SUMIF('GSTR-2B'!$G:$G,$B54,'GSTR-2B'!J:J)</f>
        <v>44415.44</v>
      </c>
      <c r="L54" s="20">
        <f>SUMIF('GSTR-2B'!$G:$G,$B54,'GSTR-2B'!L:L)</f>
        <v>7994.78</v>
      </c>
      <c r="M54" s="20">
        <f>SUMIF('GSTR-2B'!$G:$G,$B54,'GSTR-2B'!M:M)</f>
        <v>0</v>
      </c>
      <c r="N54" s="20">
        <f>SUMIF('GSTR-2B'!$G:$G,$B54,'GSTR-2B'!N:N)</f>
        <v>0</v>
      </c>
      <c r="O54" s="20">
        <f>SUMIF('GSTR-2B'!$G:$G,$B54,'GSTR-2B'!O:O)</f>
        <v>0</v>
      </c>
      <c r="P54" s="20"/>
      <c r="Q54" s="20">
        <f t="shared" si="4"/>
        <v>0</v>
      </c>
      <c r="R54" s="20">
        <f t="shared" si="5"/>
        <v>0</v>
      </c>
      <c r="S54" s="20">
        <f t="shared" si="6"/>
        <v>0</v>
      </c>
      <c r="T54" s="20">
        <f t="shared" si="7"/>
        <v>0</v>
      </c>
      <c r="U54" s="20">
        <f>SUMIF('GSTR-2B'!$G:$G,$B54,'GSTR-2B'!U:U)</f>
        <v>0</v>
      </c>
      <c r="V54" s="21"/>
      <c r="W54" s="22" t="str">
        <f>VLOOKUP(A54,'GST Wise Reco'!$A$3:$T$34,20,0)</f>
        <v>Book And 2B Match</v>
      </c>
      <c r="X54" t="s">
        <v>29</v>
      </c>
      <c r="Y54" t="s">
        <v>29</v>
      </c>
    </row>
    <row r="55" spans="1:25" x14ac:dyDescent="0.3">
      <c r="A55" s="18" t="s">
        <v>64</v>
      </c>
      <c r="B55" s="18" t="s">
        <v>388</v>
      </c>
      <c r="C55" s="18"/>
      <c r="D55" s="18"/>
      <c r="E55" s="20">
        <f>SUMIF(Book!$G:$G,$B55,Book!J:J)</f>
        <v>4491.6000000000004</v>
      </c>
      <c r="F55" s="20">
        <f>SUMIF(Book!$G:$G,$B55,Book!L:L)</f>
        <v>808.49</v>
      </c>
      <c r="G55" s="20">
        <f>SUMIF(Book!$G:$G,$B55,Book!M:M)</f>
        <v>0</v>
      </c>
      <c r="H55" s="20">
        <f>SUMIF(Book!$G:$G,$B55,Book!N:N)</f>
        <v>0</v>
      </c>
      <c r="I55" s="20">
        <f>SUMIF(Book!$G:$G,$B55,Book!O:O)</f>
        <v>0</v>
      </c>
      <c r="J55" s="18"/>
      <c r="K55" s="20">
        <f>SUMIF('GSTR-2B'!$G:$G,$B55,'GSTR-2B'!J:J)</f>
        <v>4491.6000000000004</v>
      </c>
      <c r="L55" s="20">
        <f>SUMIF('GSTR-2B'!$G:$G,$B55,'GSTR-2B'!L:L)</f>
        <v>808.49</v>
      </c>
      <c r="M55" s="20">
        <f>SUMIF('GSTR-2B'!$G:$G,$B55,'GSTR-2B'!M:M)</f>
        <v>0</v>
      </c>
      <c r="N55" s="20">
        <f>SUMIF('GSTR-2B'!$G:$G,$B55,'GSTR-2B'!N:N)</f>
        <v>0</v>
      </c>
      <c r="O55" s="20">
        <f>SUMIF('GSTR-2B'!$G:$G,$B55,'GSTR-2B'!O:O)</f>
        <v>0</v>
      </c>
      <c r="P55" s="20"/>
      <c r="Q55" s="20">
        <f t="shared" si="4"/>
        <v>0</v>
      </c>
      <c r="R55" s="20">
        <f t="shared" si="5"/>
        <v>0</v>
      </c>
      <c r="S55" s="20">
        <f t="shared" si="6"/>
        <v>0</v>
      </c>
      <c r="T55" s="20">
        <f t="shared" si="7"/>
        <v>0</v>
      </c>
      <c r="U55" s="20">
        <f>SUMIF('GSTR-2B'!$G:$G,$B55,'GSTR-2B'!U:U)</f>
        <v>0</v>
      </c>
      <c r="V55" s="21"/>
      <c r="W55" s="22" t="str">
        <f>VLOOKUP(A55,'GST Wise Reco'!$A$3:$T$34,20,0)</f>
        <v>Book And 2B Match</v>
      </c>
      <c r="X55" t="s">
        <v>29</v>
      </c>
      <c r="Y55" t="s">
        <v>29</v>
      </c>
    </row>
    <row r="56" spans="1:25" x14ac:dyDescent="0.3">
      <c r="A56" s="18" t="s">
        <v>71</v>
      </c>
      <c r="B56" s="18" t="s">
        <v>321</v>
      </c>
      <c r="C56" s="18"/>
      <c r="D56" s="18"/>
      <c r="E56" s="20">
        <f>SUMIF(Book!$G:$G,$B56,Book!J:J)</f>
        <v>8570500</v>
      </c>
      <c r="F56" s="20">
        <f>SUMIF(Book!$G:$G,$B56,Book!L:L)</f>
        <v>1542690</v>
      </c>
      <c r="G56" s="20">
        <f>SUMIF(Book!$G:$G,$B56,Book!M:M)</f>
        <v>0</v>
      </c>
      <c r="H56" s="20">
        <f>SUMIF(Book!$G:$G,$B56,Book!N:N)</f>
        <v>0</v>
      </c>
      <c r="I56" s="20">
        <f>SUMIF(Book!$G:$G,$B56,Book!O:O)</f>
        <v>0</v>
      </c>
      <c r="J56" s="18"/>
      <c r="K56" s="20">
        <f>SUMIF('GSTR-2B'!$G:$G,$B56,'GSTR-2B'!J:J)</f>
        <v>8570500</v>
      </c>
      <c r="L56" s="20">
        <f>SUMIF('GSTR-2B'!$G:$G,$B56,'GSTR-2B'!L:L)</f>
        <v>1542690</v>
      </c>
      <c r="M56" s="20">
        <f>SUMIF('GSTR-2B'!$G:$G,$B56,'GSTR-2B'!M:M)</f>
        <v>0</v>
      </c>
      <c r="N56" s="20">
        <f>SUMIF('GSTR-2B'!$G:$G,$B56,'GSTR-2B'!N:N)</f>
        <v>0</v>
      </c>
      <c r="O56" s="20">
        <f>SUMIF('GSTR-2B'!$G:$G,$B56,'GSTR-2B'!O:O)</f>
        <v>0</v>
      </c>
      <c r="P56" s="20"/>
      <c r="Q56" s="20">
        <f t="shared" si="4"/>
        <v>0</v>
      </c>
      <c r="R56" s="20">
        <f t="shared" si="5"/>
        <v>0</v>
      </c>
      <c r="S56" s="20">
        <f t="shared" si="6"/>
        <v>0</v>
      </c>
      <c r="T56" s="20">
        <f t="shared" si="7"/>
        <v>0</v>
      </c>
      <c r="U56" s="20">
        <f>SUMIF('GSTR-2B'!$G:$G,$B56,'GSTR-2B'!U:U)</f>
        <v>0</v>
      </c>
      <c r="V56" s="21"/>
      <c r="W56" s="22" t="str">
        <f>VLOOKUP(A56,'GST Wise Reco'!$A$3:$T$34,20,0)</f>
        <v>Book And 2B Match</v>
      </c>
      <c r="X56" t="s">
        <v>29</v>
      </c>
      <c r="Y56" t="s">
        <v>29</v>
      </c>
    </row>
    <row r="57" spans="1:25" x14ac:dyDescent="0.3">
      <c r="A57" s="18" t="s">
        <v>71</v>
      </c>
      <c r="B57" s="18" t="s">
        <v>332</v>
      </c>
      <c r="C57" s="18"/>
      <c r="D57" s="18"/>
      <c r="E57" s="20">
        <f>SUMIF(Book!$G:$G,$B57,Book!J:J)</f>
        <v>16500500</v>
      </c>
      <c r="F57" s="20">
        <f>SUMIF(Book!$G:$G,$B57,Book!L:L)</f>
        <v>2970090</v>
      </c>
      <c r="G57" s="20">
        <f>SUMIF(Book!$G:$G,$B57,Book!M:M)</f>
        <v>0</v>
      </c>
      <c r="H57" s="20">
        <f>SUMIF(Book!$G:$G,$B57,Book!N:N)</f>
        <v>0</v>
      </c>
      <c r="I57" s="20">
        <f>SUMIF(Book!$G:$G,$B57,Book!O:O)</f>
        <v>0</v>
      </c>
      <c r="J57" s="18"/>
      <c r="K57" s="20">
        <f>SUMIF('GSTR-2B'!$G:$G,$B57,'GSTR-2B'!J:J)</f>
        <v>16500500</v>
      </c>
      <c r="L57" s="20">
        <f>SUMIF('GSTR-2B'!$G:$G,$B57,'GSTR-2B'!L:L)</f>
        <v>2970090</v>
      </c>
      <c r="M57" s="20">
        <f>SUMIF('GSTR-2B'!$G:$G,$B57,'GSTR-2B'!M:M)</f>
        <v>0</v>
      </c>
      <c r="N57" s="20">
        <f>SUMIF('GSTR-2B'!$G:$G,$B57,'GSTR-2B'!N:N)</f>
        <v>0</v>
      </c>
      <c r="O57" s="20">
        <f>SUMIF('GSTR-2B'!$G:$G,$B57,'GSTR-2B'!O:O)</f>
        <v>0</v>
      </c>
      <c r="P57" s="20"/>
      <c r="Q57" s="20">
        <f t="shared" si="4"/>
        <v>0</v>
      </c>
      <c r="R57" s="20">
        <f t="shared" si="5"/>
        <v>0</v>
      </c>
      <c r="S57" s="20">
        <f t="shared" si="6"/>
        <v>0</v>
      </c>
      <c r="T57" s="20">
        <f t="shared" si="7"/>
        <v>0</v>
      </c>
      <c r="U57" s="20">
        <f>SUMIF('GSTR-2B'!$G:$G,$B57,'GSTR-2B'!U:U)</f>
        <v>0</v>
      </c>
      <c r="V57" s="21"/>
      <c r="W57" s="22" t="str">
        <f>VLOOKUP(A57,'GST Wise Reco'!$A$3:$T$34,20,0)</f>
        <v>Book And 2B Match</v>
      </c>
      <c r="X57" t="s">
        <v>29</v>
      </c>
      <c r="Y57" t="s">
        <v>29</v>
      </c>
    </row>
    <row r="58" spans="1:25" x14ac:dyDescent="0.3">
      <c r="A58" s="18" t="s">
        <v>71</v>
      </c>
      <c r="B58" s="18" t="s">
        <v>366</v>
      </c>
      <c r="C58" s="18"/>
      <c r="D58" s="18"/>
      <c r="E58" s="20">
        <f>SUMIF(Book!$G:$G,$B58,Book!J:J)</f>
        <v>15145877.199999999</v>
      </c>
      <c r="F58" s="20">
        <f>SUMIF(Book!$G:$G,$B58,Book!L:L)</f>
        <v>2726257.9</v>
      </c>
      <c r="G58" s="20">
        <f>SUMIF(Book!$G:$G,$B58,Book!M:M)</f>
        <v>0</v>
      </c>
      <c r="H58" s="20">
        <f>SUMIF(Book!$G:$G,$B58,Book!N:N)</f>
        <v>0</v>
      </c>
      <c r="I58" s="20">
        <f>SUMIF(Book!$G:$G,$B58,Book!O:O)</f>
        <v>0</v>
      </c>
      <c r="J58" s="18"/>
      <c r="K58" s="20">
        <f>SUMIF('GSTR-2B'!$G:$G,$B58,'GSTR-2B'!J:J)</f>
        <v>15145877.199999999</v>
      </c>
      <c r="L58" s="20">
        <f>SUMIF('GSTR-2B'!$G:$G,$B58,'GSTR-2B'!L:L)</f>
        <v>2726257.9</v>
      </c>
      <c r="M58" s="20">
        <f>SUMIF('GSTR-2B'!$G:$G,$B58,'GSTR-2B'!M:M)</f>
        <v>0</v>
      </c>
      <c r="N58" s="20">
        <f>SUMIF('GSTR-2B'!$G:$G,$B58,'GSTR-2B'!N:N)</f>
        <v>0</v>
      </c>
      <c r="O58" s="20">
        <f>SUMIF('GSTR-2B'!$G:$G,$B58,'GSTR-2B'!O:O)</f>
        <v>0</v>
      </c>
      <c r="P58" s="20"/>
      <c r="Q58" s="20">
        <f t="shared" si="4"/>
        <v>0</v>
      </c>
      <c r="R58" s="20">
        <f t="shared" si="5"/>
        <v>0</v>
      </c>
      <c r="S58" s="20">
        <f t="shared" si="6"/>
        <v>0</v>
      </c>
      <c r="T58" s="20">
        <f t="shared" si="7"/>
        <v>0</v>
      </c>
      <c r="U58" s="20">
        <f>SUMIF('GSTR-2B'!$G:$G,$B58,'GSTR-2B'!U:U)</f>
        <v>0</v>
      </c>
      <c r="V58" s="21"/>
      <c r="W58" s="22" t="str">
        <f>VLOOKUP(A58,'GST Wise Reco'!$A$3:$T$34,20,0)</f>
        <v>Book And 2B Match</v>
      </c>
      <c r="X58" t="s">
        <v>29</v>
      </c>
      <c r="Y58" t="s">
        <v>29</v>
      </c>
    </row>
    <row r="59" spans="1:25" x14ac:dyDescent="0.3">
      <c r="A59" s="18" t="s">
        <v>74</v>
      </c>
      <c r="B59" s="18" t="s">
        <v>358</v>
      </c>
      <c r="C59" s="18"/>
      <c r="D59" s="18"/>
      <c r="E59" s="20">
        <f>SUMIF(Book!$G:$G,$B59,Book!J:J)</f>
        <v>35347605.950000003</v>
      </c>
      <c r="F59" s="20">
        <f>SUMIF(Book!$G:$G,$B59,Book!L:L)</f>
        <v>6362569.0700000003</v>
      </c>
      <c r="G59" s="20">
        <f>SUMIF(Book!$G:$G,$B59,Book!M:M)</f>
        <v>0</v>
      </c>
      <c r="H59" s="20">
        <f>SUMIF(Book!$G:$G,$B59,Book!N:N)</f>
        <v>0</v>
      </c>
      <c r="I59" s="20">
        <f>SUMIF(Book!$G:$G,$B59,Book!O:O)</f>
        <v>0</v>
      </c>
      <c r="J59" s="18"/>
      <c r="K59" s="20">
        <f>SUMIF('GSTR-2B'!$G:$G,$B59,'GSTR-2B'!J:J)</f>
        <v>35347605.950000003</v>
      </c>
      <c r="L59" s="20">
        <f>SUMIF('GSTR-2B'!$G:$G,$B59,'GSTR-2B'!L:L)</f>
        <v>6362569.0700000003</v>
      </c>
      <c r="M59" s="20">
        <f>SUMIF('GSTR-2B'!$G:$G,$B59,'GSTR-2B'!M:M)</f>
        <v>0</v>
      </c>
      <c r="N59" s="20">
        <f>SUMIF('GSTR-2B'!$G:$G,$B59,'GSTR-2B'!N:N)</f>
        <v>0</v>
      </c>
      <c r="O59" s="20">
        <f>SUMIF('GSTR-2B'!$G:$G,$B59,'GSTR-2B'!O:O)</f>
        <v>0</v>
      </c>
      <c r="P59" s="20"/>
      <c r="Q59" s="20">
        <f t="shared" si="4"/>
        <v>0</v>
      </c>
      <c r="R59" s="20">
        <f t="shared" si="5"/>
        <v>0</v>
      </c>
      <c r="S59" s="20">
        <f t="shared" si="6"/>
        <v>0</v>
      </c>
      <c r="T59" s="20">
        <f t="shared" si="7"/>
        <v>0</v>
      </c>
      <c r="U59" s="20">
        <f>SUMIF('GSTR-2B'!$G:$G,$B59,'GSTR-2B'!U:U)</f>
        <v>0</v>
      </c>
      <c r="V59" s="21"/>
      <c r="W59" s="22" t="str">
        <f>VLOOKUP(A59,'GST Wise Reco'!$A$3:$T$34,20,0)</f>
        <v>Book And 2B Match</v>
      </c>
      <c r="X59" t="s">
        <v>29</v>
      </c>
      <c r="Y59" t="s">
        <v>29</v>
      </c>
    </row>
    <row r="60" spans="1:25" x14ac:dyDescent="0.3">
      <c r="A60" s="18" t="s">
        <v>74</v>
      </c>
      <c r="B60" s="18" t="s">
        <v>373</v>
      </c>
      <c r="C60" s="18"/>
      <c r="D60" s="18"/>
      <c r="E60" s="20">
        <f>SUMIF(Book!$G:$G,$B60,Book!J:J)</f>
        <v>53127666.409999996</v>
      </c>
      <c r="F60" s="20">
        <f>SUMIF(Book!$G:$G,$B60,Book!L:L)</f>
        <v>9562979.9499999993</v>
      </c>
      <c r="G60" s="20">
        <f>SUMIF(Book!$G:$G,$B60,Book!M:M)</f>
        <v>0</v>
      </c>
      <c r="H60" s="20">
        <f>SUMIF(Book!$G:$G,$B60,Book!N:N)</f>
        <v>0</v>
      </c>
      <c r="I60" s="20">
        <f>SUMIF(Book!$G:$G,$B60,Book!O:O)</f>
        <v>0</v>
      </c>
      <c r="J60" s="18"/>
      <c r="K60" s="20">
        <f>SUMIF('GSTR-2B'!$G:$G,$B60,'GSTR-2B'!J:J)</f>
        <v>53127666.409999996</v>
      </c>
      <c r="L60" s="20">
        <f>SUMIF('GSTR-2B'!$G:$G,$B60,'GSTR-2B'!L:L)</f>
        <v>9562979.9600000009</v>
      </c>
      <c r="M60" s="20">
        <f>SUMIF('GSTR-2B'!$G:$G,$B60,'GSTR-2B'!M:M)</f>
        <v>0</v>
      </c>
      <c r="N60" s="20">
        <f>SUMIF('GSTR-2B'!$G:$G,$B60,'GSTR-2B'!N:N)</f>
        <v>0</v>
      </c>
      <c r="O60" s="20">
        <f>SUMIF('GSTR-2B'!$G:$G,$B60,'GSTR-2B'!O:O)</f>
        <v>0</v>
      </c>
      <c r="P60" s="20"/>
      <c r="Q60" s="20">
        <f t="shared" si="4"/>
        <v>0</v>
      </c>
      <c r="R60" s="20">
        <f t="shared" si="5"/>
        <v>-1.0000001639127731E-2</v>
      </c>
      <c r="S60" s="20">
        <f t="shared" si="6"/>
        <v>0</v>
      </c>
      <c r="T60" s="20">
        <f t="shared" si="7"/>
        <v>0</v>
      </c>
      <c r="U60" s="20">
        <f>SUMIF('GSTR-2B'!$G:$G,$B60,'GSTR-2B'!U:U)</f>
        <v>0</v>
      </c>
      <c r="V60" s="21"/>
      <c r="W60" s="22" t="str">
        <f>VLOOKUP(A60,'GST Wise Reco'!$A$3:$T$34,20,0)</f>
        <v>Book And 2B Match</v>
      </c>
      <c r="X60" t="s">
        <v>29</v>
      </c>
      <c r="Y60" t="s">
        <v>29</v>
      </c>
    </row>
    <row r="61" spans="1:25" x14ac:dyDescent="0.3">
      <c r="A61" s="18" t="s">
        <v>74</v>
      </c>
      <c r="B61" s="18" t="s">
        <v>384</v>
      </c>
      <c r="C61" s="18"/>
      <c r="D61" s="18"/>
      <c r="E61" s="20">
        <f>SUMIF(Book!$G:$G,$B61,Book!J:J)</f>
        <v>40518978.049999997</v>
      </c>
      <c r="F61" s="20">
        <f>SUMIF(Book!$G:$G,$B61,Book!L:L)</f>
        <v>7293416.0499999998</v>
      </c>
      <c r="G61" s="20">
        <f>SUMIF(Book!$G:$G,$B61,Book!M:M)</f>
        <v>0</v>
      </c>
      <c r="H61" s="20">
        <f>SUMIF(Book!$G:$G,$B61,Book!N:N)</f>
        <v>0</v>
      </c>
      <c r="I61" s="20">
        <f>SUMIF(Book!$G:$G,$B61,Book!O:O)</f>
        <v>0</v>
      </c>
      <c r="J61" s="18"/>
      <c r="K61" s="20">
        <f>SUMIF('GSTR-2B'!$G:$G,$B61,'GSTR-2B'!J:J)</f>
        <v>40518978.049999997</v>
      </c>
      <c r="L61" s="20">
        <f>SUMIF('GSTR-2B'!$G:$G,$B61,'GSTR-2B'!L:L)</f>
        <v>7293416.0499999998</v>
      </c>
      <c r="M61" s="20">
        <f>SUMIF('GSTR-2B'!$G:$G,$B61,'GSTR-2B'!M:M)</f>
        <v>0</v>
      </c>
      <c r="N61" s="20">
        <f>SUMIF('GSTR-2B'!$G:$G,$B61,'GSTR-2B'!N:N)</f>
        <v>0</v>
      </c>
      <c r="O61" s="20">
        <f>SUMIF('GSTR-2B'!$G:$G,$B61,'GSTR-2B'!O:O)</f>
        <v>0</v>
      </c>
      <c r="P61" s="20"/>
      <c r="Q61" s="20">
        <f t="shared" si="4"/>
        <v>0</v>
      </c>
      <c r="R61" s="20">
        <f t="shared" si="5"/>
        <v>0</v>
      </c>
      <c r="S61" s="20">
        <f t="shared" si="6"/>
        <v>0</v>
      </c>
      <c r="T61" s="20">
        <f t="shared" si="7"/>
        <v>0</v>
      </c>
      <c r="U61" s="20">
        <f>SUMIF('GSTR-2B'!$G:$G,$B61,'GSTR-2B'!U:U)</f>
        <v>0</v>
      </c>
      <c r="V61" s="21"/>
      <c r="W61" s="22" t="str">
        <f>VLOOKUP(A61,'GST Wise Reco'!$A$3:$T$34,20,0)</f>
        <v>Book And 2B Match</v>
      </c>
      <c r="X61" t="s">
        <v>29</v>
      </c>
      <c r="Y61" t="s">
        <v>29</v>
      </c>
    </row>
    <row r="62" spans="1:25" x14ac:dyDescent="0.3">
      <c r="A62" s="18" t="s">
        <v>74</v>
      </c>
      <c r="B62" s="18" t="s">
        <v>391</v>
      </c>
      <c r="C62" s="18"/>
      <c r="D62" s="18"/>
      <c r="E62" s="20">
        <f>SUMIF(Book!$G:$G,$B62,Book!J:J)</f>
        <v>42368207.189999998</v>
      </c>
      <c r="F62" s="20">
        <f>SUMIF(Book!$G:$G,$B62,Book!L:L)</f>
        <v>7626277.29</v>
      </c>
      <c r="G62" s="20">
        <f>SUMIF(Book!$G:$G,$B62,Book!M:M)</f>
        <v>0</v>
      </c>
      <c r="H62" s="20">
        <f>SUMIF(Book!$G:$G,$B62,Book!N:N)</f>
        <v>0</v>
      </c>
      <c r="I62" s="20">
        <f>SUMIF(Book!$G:$G,$B62,Book!O:O)</f>
        <v>0</v>
      </c>
      <c r="J62" s="18"/>
      <c r="K62" s="20">
        <f>SUMIF('GSTR-2B'!$G:$G,$B62,'GSTR-2B'!J:J)</f>
        <v>42368207.189999998</v>
      </c>
      <c r="L62" s="20">
        <f>SUMIF('GSTR-2B'!$G:$G,$B62,'GSTR-2B'!L:L)</f>
        <v>7626277.2999999998</v>
      </c>
      <c r="M62" s="20">
        <f>SUMIF('GSTR-2B'!$G:$G,$B62,'GSTR-2B'!M:M)</f>
        <v>0</v>
      </c>
      <c r="N62" s="20">
        <f>SUMIF('GSTR-2B'!$G:$G,$B62,'GSTR-2B'!N:N)</f>
        <v>0</v>
      </c>
      <c r="O62" s="20">
        <f>SUMIF('GSTR-2B'!$G:$G,$B62,'GSTR-2B'!O:O)</f>
        <v>0</v>
      </c>
      <c r="P62" s="20"/>
      <c r="Q62" s="20">
        <f t="shared" si="4"/>
        <v>0</v>
      </c>
      <c r="R62" s="20">
        <f t="shared" si="5"/>
        <v>-9.9999997764825821E-3</v>
      </c>
      <c r="S62" s="20">
        <f t="shared" si="6"/>
        <v>0</v>
      </c>
      <c r="T62" s="20">
        <f t="shared" si="7"/>
        <v>0</v>
      </c>
      <c r="U62" s="20">
        <f>SUMIF('GSTR-2B'!$G:$G,$B62,'GSTR-2B'!U:U)</f>
        <v>0</v>
      </c>
      <c r="V62" s="21"/>
      <c r="W62" s="22" t="str">
        <f>VLOOKUP(A62,'GST Wise Reco'!$A$3:$T$34,20,0)</f>
        <v>Book And 2B Match</v>
      </c>
      <c r="X62" t="s">
        <v>29</v>
      </c>
      <c r="Y62" t="s">
        <v>29</v>
      </c>
    </row>
    <row r="63" spans="1:25" x14ac:dyDescent="0.3">
      <c r="A63" s="18" t="s">
        <v>74</v>
      </c>
      <c r="B63" s="18" t="s">
        <v>394</v>
      </c>
      <c r="C63" s="18"/>
      <c r="D63" s="18"/>
      <c r="E63" s="20">
        <f>SUMIF(Book!$G:$G,$B63,Book!J:J)</f>
        <v>40003217.850000001</v>
      </c>
      <c r="F63" s="20">
        <f>SUMIF(Book!$G:$G,$B63,Book!L:L)</f>
        <v>7200579.21</v>
      </c>
      <c r="G63" s="20">
        <f>SUMIF(Book!$G:$G,$B63,Book!M:M)</f>
        <v>0</v>
      </c>
      <c r="H63" s="20">
        <f>SUMIF(Book!$G:$G,$B63,Book!N:N)</f>
        <v>0</v>
      </c>
      <c r="I63" s="20">
        <f>SUMIF(Book!$G:$G,$B63,Book!O:O)</f>
        <v>0</v>
      </c>
      <c r="J63" s="18"/>
      <c r="K63" s="20">
        <f>SUMIF('GSTR-2B'!$G:$G,$B63,'GSTR-2B'!J:J)</f>
        <v>40003217.850000001</v>
      </c>
      <c r="L63" s="20">
        <f>SUMIF('GSTR-2B'!$G:$G,$B63,'GSTR-2B'!L:L)</f>
        <v>7200579.21</v>
      </c>
      <c r="M63" s="20">
        <f>SUMIF('GSTR-2B'!$G:$G,$B63,'GSTR-2B'!M:M)</f>
        <v>0</v>
      </c>
      <c r="N63" s="20">
        <f>SUMIF('GSTR-2B'!$G:$G,$B63,'GSTR-2B'!N:N)</f>
        <v>0</v>
      </c>
      <c r="O63" s="20">
        <f>SUMIF('GSTR-2B'!$G:$G,$B63,'GSTR-2B'!O:O)</f>
        <v>0</v>
      </c>
      <c r="P63" s="20"/>
      <c r="Q63" s="20">
        <f t="shared" si="4"/>
        <v>0</v>
      </c>
      <c r="R63" s="20">
        <f t="shared" si="5"/>
        <v>0</v>
      </c>
      <c r="S63" s="20">
        <f t="shared" si="6"/>
        <v>0</v>
      </c>
      <c r="T63" s="20">
        <f t="shared" si="7"/>
        <v>0</v>
      </c>
      <c r="U63" s="20">
        <f>SUMIF('GSTR-2B'!$G:$G,$B63,'GSTR-2B'!U:U)</f>
        <v>0</v>
      </c>
      <c r="V63" s="21"/>
      <c r="W63" s="22" t="str">
        <f>VLOOKUP(A63,'GST Wise Reco'!$A$3:$T$34,20,0)</f>
        <v>Book And 2B Match</v>
      </c>
      <c r="X63" t="s">
        <v>29</v>
      </c>
      <c r="Y63" t="s">
        <v>29</v>
      </c>
    </row>
    <row r="64" spans="1:25" x14ac:dyDescent="0.3">
      <c r="A64" s="18" t="s">
        <v>76</v>
      </c>
      <c r="B64" s="18" t="s">
        <v>392</v>
      </c>
      <c r="C64" s="18"/>
      <c r="D64" s="18"/>
      <c r="E64" s="20">
        <f>SUMIF(Book!$G:$G,$B64,Book!J:J)</f>
        <v>3041080.71</v>
      </c>
      <c r="F64" s="20">
        <f>SUMIF(Book!$G:$G,$B64,Book!L:L)</f>
        <v>547394.53</v>
      </c>
      <c r="G64" s="20">
        <f>SUMIF(Book!$G:$G,$B64,Book!M:M)</f>
        <v>0</v>
      </c>
      <c r="H64" s="20">
        <f>SUMIF(Book!$G:$G,$B64,Book!N:N)</f>
        <v>0</v>
      </c>
      <c r="I64" s="20">
        <f>SUMIF(Book!$G:$G,$B64,Book!O:O)</f>
        <v>0</v>
      </c>
      <c r="J64" s="18"/>
      <c r="K64" s="20">
        <f>SUMIF('GSTR-2B'!$G:$G,$B64,'GSTR-2B'!J:J)</f>
        <v>0</v>
      </c>
      <c r="L64" s="20">
        <f>SUMIF('GSTR-2B'!$G:$G,$B64,'GSTR-2B'!L:L)</f>
        <v>0</v>
      </c>
      <c r="M64" s="20">
        <f>SUMIF('GSTR-2B'!$G:$G,$B64,'GSTR-2B'!M:M)</f>
        <v>0</v>
      </c>
      <c r="N64" s="20">
        <f>SUMIF('GSTR-2B'!$G:$G,$B64,'GSTR-2B'!N:N)</f>
        <v>0</v>
      </c>
      <c r="O64" s="20">
        <f>SUMIF('GSTR-2B'!$G:$G,$B64,'GSTR-2B'!O:O)</f>
        <v>0</v>
      </c>
      <c r="P64" s="20"/>
      <c r="Q64" s="20">
        <f t="shared" si="4"/>
        <v>3041080.71</v>
      </c>
      <c r="R64" s="20">
        <f t="shared" si="5"/>
        <v>547394.53</v>
      </c>
      <c r="S64" s="20">
        <f t="shared" si="6"/>
        <v>0</v>
      </c>
      <c r="T64" s="20">
        <f t="shared" si="7"/>
        <v>0</v>
      </c>
      <c r="U64" s="20">
        <f>SUMIF('GSTR-2B'!$G:$G,$B64,'GSTR-2B'!U:U)</f>
        <v>0</v>
      </c>
      <c r="V64" s="21"/>
      <c r="W64" s="22" t="str">
        <f>VLOOKUP(A64,'GST Wise Reco'!$A$3:$T$34,20,0)</f>
        <v>Book And 2B Match</v>
      </c>
      <c r="X64" t="s">
        <v>482</v>
      </c>
      <c r="Y64" t="s">
        <v>29</v>
      </c>
    </row>
    <row r="65" spans="1:25" x14ac:dyDescent="0.3">
      <c r="A65" s="18" t="s">
        <v>76</v>
      </c>
      <c r="B65" s="18" t="s">
        <v>393</v>
      </c>
      <c r="C65" s="18"/>
      <c r="D65" s="18"/>
      <c r="E65" s="20">
        <f>SUMIF(Book!$G:$G,$B65,Book!J:J)</f>
        <v>173895.44</v>
      </c>
      <c r="F65" s="20">
        <f>SUMIF(Book!$G:$G,$B65,Book!L:L)</f>
        <v>31301.18</v>
      </c>
      <c r="G65" s="20">
        <f>SUMIF(Book!$G:$G,$B65,Book!M:M)</f>
        <v>0</v>
      </c>
      <c r="H65" s="20">
        <f>SUMIF(Book!$G:$G,$B65,Book!N:N)</f>
        <v>0</v>
      </c>
      <c r="I65" s="20">
        <f>SUMIF(Book!$G:$G,$B65,Book!O:O)</f>
        <v>0</v>
      </c>
      <c r="J65" s="18"/>
      <c r="K65" s="20">
        <f>SUMIF('GSTR-2B'!$G:$G,$B65,'GSTR-2B'!J:J)</f>
        <v>0</v>
      </c>
      <c r="L65" s="20">
        <f>SUMIF('GSTR-2B'!$G:$G,$B65,'GSTR-2B'!L:L)</f>
        <v>0</v>
      </c>
      <c r="M65" s="20">
        <f>SUMIF('GSTR-2B'!$G:$G,$B65,'GSTR-2B'!M:M)</f>
        <v>0</v>
      </c>
      <c r="N65" s="20">
        <f>SUMIF('GSTR-2B'!$G:$G,$B65,'GSTR-2B'!N:N)</f>
        <v>0</v>
      </c>
      <c r="O65" s="20">
        <f>SUMIF('GSTR-2B'!$G:$G,$B65,'GSTR-2B'!O:O)</f>
        <v>0</v>
      </c>
      <c r="P65" s="20"/>
      <c r="Q65" s="20">
        <f t="shared" si="4"/>
        <v>173895.44</v>
      </c>
      <c r="R65" s="20">
        <f t="shared" si="5"/>
        <v>31301.18</v>
      </c>
      <c r="S65" s="20">
        <f t="shared" si="6"/>
        <v>0</v>
      </c>
      <c r="T65" s="20">
        <f t="shared" si="7"/>
        <v>0</v>
      </c>
      <c r="U65" s="20">
        <f>SUMIF('GSTR-2B'!$G:$G,$B65,'GSTR-2B'!U:U)</f>
        <v>0</v>
      </c>
      <c r="V65" s="21"/>
      <c r="W65" s="22" t="str">
        <f>VLOOKUP(A65,'GST Wise Reco'!$A$3:$T$34,20,0)</f>
        <v>Book And 2B Match</v>
      </c>
      <c r="X65" t="s">
        <v>482</v>
      </c>
      <c r="Y65" t="s">
        <v>29</v>
      </c>
    </row>
    <row r="66" spans="1:25" x14ac:dyDescent="0.3">
      <c r="A66" s="18" t="s">
        <v>76</v>
      </c>
      <c r="B66" s="18" t="s">
        <v>400</v>
      </c>
      <c r="C66" s="18"/>
      <c r="D66" s="18"/>
      <c r="E66" s="20">
        <f>SUMIF(Book!$G:$G,$B66,Book!J:J)</f>
        <v>65421.279999999999</v>
      </c>
      <c r="F66" s="20">
        <f>SUMIF(Book!$G:$G,$B66,Book!L:L)</f>
        <v>11775.83</v>
      </c>
      <c r="G66" s="20">
        <f>SUMIF(Book!$G:$G,$B66,Book!M:M)</f>
        <v>0</v>
      </c>
      <c r="H66" s="20">
        <f>SUMIF(Book!$G:$G,$B66,Book!N:N)</f>
        <v>0</v>
      </c>
      <c r="I66" s="20">
        <f>SUMIF(Book!$G:$G,$B66,Book!O:O)</f>
        <v>0</v>
      </c>
      <c r="J66" s="18"/>
      <c r="K66" s="20">
        <f>SUMIF('GSTR-2B'!$G:$G,$B66,'GSTR-2B'!J:J)</f>
        <v>65421.279999999999</v>
      </c>
      <c r="L66" s="20">
        <f>SUMIF('GSTR-2B'!$G:$G,$B66,'GSTR-2B'!L:L)</f>
        <v>11775.83</v>
      </c>
      <c r="M66" s="20">
        <f>SUMIF('GSTR-2B'!$G:$G,$B66,'GSTR-2B'!M:M)</f>
        <v>0</v>
      </c>
      <c r="N66" s="20">
        <f>SUMIF('GSTR-2B'!$G:$G,$B66,'GSTR-2B'!N:N)</f>
        <v>0</v>
      </c>
      <c r="O66" s="20">
        <f>SUMIF('GSTR-2B'!$G:$G,$B66,'GSTR-2B'!O:O)</f>
        <v>0</v>
      </c>
      <c r="P66" s="20"/>
      <c r="Q66" s="20">
        <f t="shared" si="4"/>
        <v>0</v>
      </c>
      <c r="R66" s="20">
        <f t="shared" si="5"/>
        <v>0</v>
      </c>
      <c r="S66" s="20">
        <f t="shared" si="6"/>
        <v>0</v>
      </c>
      <c r="T66" s="20">
        <f t="shared" si="7"/>
        <v>0</v>
      </c>
      <c r="U66" s="20">
        <f>SUMIF('GSTR-2B'!$G:$G,$B66,'GSTR-2B'!U:U)</f>
        <v>0</v>
      </c>
      <c r="V66" s="21"/>
      <c r="W66" s="22" t="str">
        <f>VLOOKUP(A66,'GST Wise Reco'!$A$3:$T$34,20,0)</f>
        <v>Book And 2B Match</v>
      </c>
      <c r="X66" t="s">
        <v>29</v>
      </c>
      <c r="Y66" t="s">
        <v>29</v>
      </c>
    </row>
    <row r="67" spans="1:25" x14ac:dyDescent="0.3">
      <c r="A67" s="18" t="s">
        <v>76</v>
      </c>
      <c r="B67" s="18" t="s">
        <v>467</v>
      </c>
      <c r="C67" s="18"/>
      <c r="D67" s="18"/>
      <c r="E67" s="20">
        <f>SUMIF(Book!$G:$G,$B67,Book!J:J)</f>
        <v>0</v>
      </c>
      <c r="F67" s="20">
        <f>SUMIF(Book!$G:$G,$B67,Book!L:L)</f>
        <v>0</v>
      </c>
      <c r="G67" s="20">
        <f>SUMIF(Book!$G:$G,$B67,Book!M:M)</f>
        <v>0</v>
      </c>
      <c r="H67" s="20">
        <f>SUMIF(Book!$G:$G,$B67,Book!N:N)</f>
        <v>0</v>
      </c>
      <c r="I67" s="20">
        <f>SUMIF(Book!$G:$G,$B67,Book!O:O)</f>
        <v>0</v>
      </c>
      <c r="J67" s="18"/>
      <c r="K67" s="20">
        <f>SUMIF('GSTR-2B'!$G:$G,$B67,'GSTR-2B'!J:J)</f>
        <v>3041080.71</v>
      </c>
      <c r="L67" s="20">
        <f>SUMIF('GSTR-2B'!$G:$G,$B67,'GSTR-2B'!L:L)</f>
        <v>547394.53</v>
      </c>
      <c r="M67" s="20">
        <f>SUMIF('GSTR-2B'!$G:$G,$B67,'GSTR-2B'!M:M)</f>
        <v>0</v>
      </c>
      <c r="N67" s="20">
        <f>SUMIF('GSTR-2B'!$G:$G,$B67,'GSTR-2B'!N:N)</f>
        <v>0</v>
      </c>
      <c r="O67" s="20">
        <f>SUMIF('GSTR-2B'!$G:$G,$B67,'GSTR-2B'!O:O)</f>
        <v>0</v>
      </c>
      <c r="P67" s="20"/>
      <c r="Q67" s="20">
        <f t="shared" si="4"/>
        <v>-3041080.71</v>
      </c>
      <c r="R67" s="20">
        <f t="shared" si="5"/>
        <v>-547394.53</v>
      </c>
      <c r="S67" s="20">
        <f t="shared" si="6"/>
        <v>0</v>
      </c>
      <c r="T67" s="20">
        <f t="shared" si="7"/>
        <v>0</v>
      </c>
      <c r="U67" s="20">
        <f>SUMIF('GSTR-2B'!$G:$G,$B67,'GSTR-2B'!U:U)</f>
        <v>0</v>
      </c>
      <c r="V67" s="21"/>
      <c r="W67" s="22" t="str">
        <f>VLOOKUP(A67,'GST Wise Reco'!$A$3:$T$34,20,0)</f>
        <v>Book And 2B Match</v>
      </c>
      <c r="X67" t="s">
        <v>482</v>
      </c>
      <c r="Y67" t="s">
        <v>29</v>
      </c>
    </row>
    <row r="68" spans="1:25" x14ac:dyDescent="0.3">
      <c r="A68" s="18" t="s">
        <v>76</v>
      </c>
      <c r="B68" s="18" t="s">
        <v>468</v>
      </c>
      <c r="C68" s="18"/>
      <c r="D68" s="18"/>
      <c r="E68" s="20">
        <f>SUMIF(Book!$G:$G,$B68,Book!J:J)</f>
        <v>0</v>
      </c>
      <c r="F68" s="20">
        <f>SUMIF(Book!$G:$G,$B68,Book!L:L)</f>
        <v>0</v>
      </c>
      <c r="G68" s="20">
        <f>SUMIF(Book!$G:$G,$B68,Book!M:M)</f>
        <v>0</v>
      </c>
      <c r="H68" s="20">
        <f>SUMIF(Book!$G:$G,$B68,Book!N:N)</f>
        <v>0</v>
      </c>
      <c r="I68" s="20">
        <f>SUMIF(Book!$G:$G,$B68,Book!O:O)</f>
        <v>0</v>
      </c>
      <c r="J68" s="18"/>
      <c r="K68" s="20">
        <f>SUMIF('GSTR-2B'!$G:$G,$B68,'GSTR-2B'!J:J)</f>
        <v>173895.44</v>
      </c>
      <c r="L68" s="20">
        <f>SUMIF('GSTR-2B'!$G:$G,$B68,'GSTR-2B'!L:L)</f>
        <v>31301.18</v>
      </c>
      <c r="M68" s="20">
        <f>SUMIF('GSTR-2B'!$G:$G,$B68,'GSTR-2B'!M:M)</f>
        <v>0</v>
      </c>
      <c r="N68" s="20">
        <f>SUMIF('GSTR-2B'!$G:$G,$B68,'GSTR-2B'!N:N)</f>
        <v>0</v>
      </c>
      <c r="O68" s="20">
        <f>SUMIF('GSTR-2B'!$G:$G,$B68,'GSTR-2B'!O:O)</f>
        <v>0</v>
      </c>
      <c r="P68" s="20"/>
      <c r="Q68" s="20">
        <f t="shared" si="4"/>
        <v>-173895.44</v>
      </c>
      <c r="R68" s="20">
        <f t="shared" si="5"/>
        <v>-31301.18</v>
      </c>
      <c r="S68" s="20">
        <f t="shared" si="6"/>
        <v>0</v>
      </c>
      <c r="T68" s="20">
        <f t="shared" si="7"/>
        <v>0</v>
      </c>
      <c r="U68" s="20">
        <f>SUMIF('GSTR-2B'!$G:$G,$B68,'GSTR-2B'!U:U)</f>
        <v>0</v>
      </c>
      <c r="V68" s="21"/>
      <c r="W68" s="22" t="str">
        <f>VLOOKUP(A68,'GST Wise Reco'!$A$3:$T$34,20,0)</f>
        <v>Book And 2B Match</v>
      </c>
      <c r="X68" t="s">
        <v>482</v>
      </c>
      <c r="Y68" t="s">
        <v>29</v>
      </c>
    </row>
    <row r="69" spans="1:25" x14ac:dyDescent="0.3">
      <c r="A69" s="18" t="s">
        <v>73</v>
      </c>
      <c r="B69" s="18" t="s">
        <v>335</v>
      </c>
      <c r="C69" s="18"/>
      <c r="D69" s="18"/>
      <c r="E69" s="20">
        <f>SUMIF(Book!$G:$G,$B69,Book!J:J)</f>
        <v>1533295</v>
      </c>
      <c r="F69" s="20">
        <f>SUMIF(Book!$G:$G,$B69,Book!L:L)</f>
        <v>275993.09999999998</v>
      </c>
      <c r="G69" s="20">
        <f>SUMIF(Book!$G:$G,$B69,Book!M:M)</f>
        <v>0</v>
      </c>
      <c r="H69" s="20">
        <f>SUMIF(Book!$G:$G,$B69,Book!N:N)</f>
        <v>0</v>
      </c>
      <c r="I69" s="20">
        <f>SUMIF(Book!$G:$G,$B69,Book!O:O)</f>
        <v>0</v>
      </c>
      <c r="J69" s="18"/>
      <c r="K69" s="20">
        <f>SUMIF('GSTR-2B'!$G:$G,$B69,'GSTR-2B'!J:J)</f>
        <v>1533295</v>
      </c>
      <c r="L69" s="20">
        <f>SUMIF('GSTR-2B'!$G:$G,$B69,'GSTR-2B'!L:L)</f>
        <v>275993.09999999998</v>
      </c>
      <c r="M69" s="20">
        <f>SUMIF('GSTR-2B'!$G:$G,$B69,'GSTR-2B'!M:M)</f>
        <v>0</v>
      </c>
      <c r="N69" s="20">
        <f>SUMIF('GSTR-2B'!$G:$G,$B69,'GSTR-2B'!N:N)</f>
        <v>0</v>
      </c>
      <c r="O69" s="20">
        <f>SUMIF('GSTR-2B'!$G:$G,$B69,'GSTR-2B'!O:O)</f>
        <v>0</v>
      </c>
      <c r="P69" s="20"/>
      <c r="Q69" s="20">
        <f t="shared" ref="Q69:Q100" si="8">+E69-K69</f>
        <v>0</v>
      </c>
      <c r="R69" s="20">
        <f t="shared" ref="R69:R100" si="9">+F69-L69</f>
        <v>0</v>
      </c>
      <c r="S69" s="20">
        <f t="shared" ref="S69:S100" si="10">+G69-M69</f>
        <v>0</v>
      </c>
      <c r="T69" s="20">
        <f t="shared" ref="T69:T100" si="11">+H69-N69</f>
        <v>0</v>
      </c>
      <c r="U69" s="20">
        <f>SUMIF('GSTR-2B'!$G:$G,$B69,'GSTR-2B'!U:U)</f>
        <v>0</v>
      </c>
      <c r="V69" s="21"/>
      <c r="W69" s="22" t="str">
        <f>VLOOKUP(A69,'GST Wise Reco'!$A$3:$T$34,20,0)</f>
        <v>Book And 2B Match</v>
      </c>
      <c r="X69" t="s">
        <v>29</v>
      </c>
      <c r="Y69" t="s">
        <v>29</v>
      </c>
    </row>
    <row r="70" spans="1:25" x14ac:dyDescent="0.3">
      <c r="A70" s="18" t="s">
        <v>73</v>
      </c>
      <c r="B70" s="18" t="s">
        <v>340</v>
      </c>
      <c r="C70" s="18"/>
      <c r="D70" s="18"/>
      <c r="E70" s="20">
        <f>SUMIF(Book!$G:$G,$B70,Book!J:J)</f>
        <v>519432.16</v>
      </c>
      <c r="F70" s="20">
        <f>SUMIF(Book!$G:$G,$B70,Book!L:L)</f>
        <v>93498</v>
      </c>
      <c r="G70" s="20">
        <f>SUMIF(Book!$G:$G,$B70,Book!M:M)</f>
        <v>0</v>
      </c>
      <c r="H70" s="20">
        <f>SUMIF(Book!$G:$G,$B70,Book!N:N)</f>
        <v>0</v>
      </c>
      <c r="I70" s="20">
        <f>SUMIF(Book!$G:$G,$B70,Book!O:O)</f>
        <v>0</v>
      </c>
      <c r="J70" s="18"/>
      <c r="K70" s="20">
        <f>SUMIF('GSTR-2B'!$G:$G,$B70,'GSTR-2B'!J:J)</f>
        <v>519432.16</v>
      </c>
      <c r="L70" s="20">
        <f>SUMIF('GSTR-2B'!$G:$G,$B70,'GSTR-2B'!L:L)</f>
        <v>93498</v>
      </c>
      <c r="M70" s="20">
        <f>SUMIF('GSTR-2B'!$G:$G,$B70,'GSTR-2B'!M:M)</f>
        <v>0</v>
      </c>
      <c r="N70" s="20">
        <f>SUMIF('GSTR-2B'!$G:$G,$B70,'GSTR-2B'!N:N)</f>
        <v>0</v>
      </c>
      <c r="O70" s="20">
        <f>SUMIF('GSTR-2B'!$G:$G,$B70,'GSTR-2B'!O:O)</f>
        <v>0</v>
      </c>
      <c r="P70" s="20"/>
      <c r="Q70" s="20">
        <f t="shared" si="8"/>
        <v>0</v>
      </c>
      <c r="R70" s="20">
        <f t="shared" si="9"/>
        <v>0</v>
      </c>
      <c r="S70" s="20">
        <f t="shared" si="10"/>
        <v>0</v>
      </c>
      <c r="T70" s="20">
        <f t="shared" si="11"/>
        <v>0</v>
      </c>
      <c r="U70" s="20">
        <f>SUMIF('GSTR-2B'!$G:$G,$B70,'GSTR-2B'!U:U)</f>
        <v>0</v>
      </c>
      <c r="V70" s="21"/>
      <c r="W70" s="22" t="str">
        <f>VLOOKUP(A70,'GST Wise Reco'!$A$3:$T$34,20,0)</f>
        <v>Book And 2B Match</v>
      </c>
      <c r="X70" t="s">
        <v>29</v>
      </c>
      <c r="Y70" t="s">
        <v>29</v>
      </c>
    </row>
    <row r="71" spans="1:25" x14ac:dyDescent="0.3">
      <c r="A71" s="18" t="s">
        <v>73</v>
      </c>
      <c r="B71" s="18" t="s">
        <v>352</v>
      </c>
      <c r="C71" s="18"/>
      <c r="D71" s="18"/>
      <c r="E71" s="20">
        <f>SUMIF(Book!$G:$G,$B71,Book!J:J)</f>
        <v>466156.48</v>
      </c>
      <c r="F71" s="20">
        <f>SUMIF(Book!$G:$G,$B71,Book!L:L)</f>
        <v>83909</v>
      </c>
      <c r="G71" s="20">
        <f>SUMIF(Book!$G:$G,$B71,Book!M:M)</f>
        <v>0</v>
      </c>
      <c r="H71" s="20">
        <f>SUMIF(Book!$G:$G,$B71,Book!N:N)</f>
        <v>0</v>
      </c>
      <c r="I71" s="20">
        <f>SUMIF(Book!$G:$G,$B71,Book!O:O)</f>
        <v>0</v>
      </c>
      <c r="J71" s="18"/>
      <c r="K71" s="20">
        <f>SUMIF('GSTR-2B'!$G:$G,$B71,'GSTR-2B'!J:J)</f>
        <v>466156.48</v>
      </c>
      <c r="L71" s="20">
        <f>SUMIF('GSTR-2B'!$G:$G,$B71,'GSTR-2B'!L:L)</f>
        <v>83909</v>
      </c>
      <c r="M71" s="20">
        <f>SUMIF('GSTR-2B'!$G:$G,$B71,'GSTR-2B'!M:M)</f>
        <v>0</v>
      </c>
      <c r="N71" s="20">
        <f>SUMIF('GSTR-2B'!$G:$G,$B71,'GSTR-2B'!N:N)</f>
        <v>0</v>
      </c>
      <c r="O71" s="20">
        <f>SUMIF('GSTR-2B'!$G:$G,$B71,'GSTR-2B'!O:O)</f>
        <v>0</v>
      </c>
      <c r="P71" s="20"/>
      <c r="Q71" s="20">
        <f t="shared" si="8"/>
        <v>0</v>
      </c>
      <c r="R71" s="20">
        <f t="shared" si="9"/>
        <v>0</v>
      </c>
      <c r="S71" s="20">
        <f t="shared" si="10"/>
        <v>0</v>
      </c>
      <c r="T71" s="20">
        <f t="shared" si="11"/>
        <v>0</v>
      </c>
      <c r="U71" s="20">
        <f>SUMIF('GSTR-2B'!$G:$G,$B71,'GSTR-2B'!U:U)</f>
        <v>0</v>
      </c>
      <c r="V71" s="21"/>
      <c r="W71" s="22" t="str">
        <f>VLOOKUP(A71,'GST Wise Reco'!$A$3:$T$34,20,0)</f>
        <v>Book And 2B Match</v>
      </c>
      <c r="X71" t="s">
        <v>29</v>
      </c>
      <c r="Y71" t="s">
        <v>29</v>
      </c>
    </row>
    <row r="72" spans="1:25" x14ac:dyDescent="0.3">
      <c r="A72" s="18" t="s">
        <v>73</v>
      </c>
      <c r="B72" s="18" t="s">
        <v>361</v>
      </c>
      <c r="C72" s="18"/>
      <c r="D72" s="18"/>
      <c r="E72" s="20">
        <f>SUMIF(Book!$G:$G,$B72,Book!J:J)</f>
        <v>268872.39</v>
      </c>
      <c r="F72" s="20">
        <f>SUMIF(Book!$G:$G,$B72,Book!L:L)</f>
        <v>48398</v>
      </c>
      <c r="G72" s="20">
        <f>SUMIF(Book!$G:$G,$B72,Book!M:M)</f>
        <v>0</v>
      </c>
      <c r="H72" s="20">
        <f>SUMIF(Book!$G:$G,$B72,Book!N:N)</f>
        <v>0</v>
      </c>
      <c r="I72" s="20">
        <f>SUMIF(Book!$G:$G,$B72,Book!O:O)</f>
        <v>0</v>
      </c>
      <c r="J72" s="18"/>
      <c r="K72" s="20">
        <f>SUMIF('GSTR-2B'!$G:$G,$B72,'GSTR-2B'!J:J)</f>
        <v>268872.39</v>
      </c>
      <c r="L72" s="20">
        <f>SUMIF('GSTR-2B'!$G:$G,$B72,'GSTR-2B'!L:L)</f>
        <v>48398</v>
      </c>
      <c r="M72" s="20">
        <f>SUMIF('GSTR-2B'!$G:$G,$B72,'GSTR-2B'!M:M)</f>
        <v>0</v>
      </c>
      <c r="N72" s="20">
        <f>SUMIF('GSTR-2B'!$G:$G,$B72,'GSTR-2B'!N:N)</f>
        <v>0</v>
      </c>
      <c r="O72" s="20">
        <f>SUMIF('GSTR-2B'!$G:$G,$B72,'GSTR-2B'!O:O)</f>
        <v>0</v>
      </c>
      <c r="P72" s="20"/>
      <c r="Q72" s="20">
        <f t="shared" si="8"/>
        <v>0</v>
      </c>
      <c r="R72" s="20">
        <f t="shared" si="9"/>
        <v>0</v>
      </c>
      <c r="S72" s="20">
        <f t="shared" si="10"/>
        <v>0</v>
      </c>
      <c r="T72" s="20">
        <f t="shared" si="11"/>
        <v>0</v>
      </c>
      <c r="U72" s="20">
        <f>SUMIF('GSTR-2B'!$G:$G,$B72,'GSTR-2B'!U:U)</f>
        <v>0</v>
      </c>
      <c r="V72" s="21"/>
      <c r="W72" s="22" t="str">
        <f>VLOOKUP(A72,'GST Wise Reco'!$A$3:$T$34,20,0)</f>
        <v>Book And 2B Match</v>
      </c>
      <c r="X72" t="s">
        <v>29</v>
      </c>
      <c r="Y72" t="s">
        <v>29</v>
      </c>
    </row>
    <row r="73" spans="1:25" x14ac:dyDescent="0.3">
      <c r="A73" s="18" t="s">
        <v>73</v>
      </c>
      <c r="B73" s="18" t="s">
        <v>374</v>
      </c>
      <c r="C73" s="18"/>
      <c r="D73" s="18"/>
      <c r="E73" s="20">
        <f>SUMIF(Book!$G:$G,$B73,Book!J:J)</f>
        <v>540890.69999999995</v>
      </c>
      <c r="F73" s="20">
        <f>SUMIF(Book!$G:$G,$B73,Book!L:L)</f>
        <v>97361</v>
      </c>
      <c r="G73" s="20">
        <f>SUMIF(Book!$G:$G,$B73,Book!M:M)</f>
        <v>0</v>
      </c>
      <c r="H73" s="20">
        <f>SUMIF(Book!$G:$G,$B73,Book!N:N)</f>
        <v>0</v>
      </c>
      <c r="I73" s="20">
        <f>SUMIF(Book!$G:$G,$B73,Book!O:O)</f>
        <v>0</v>
      </c>
      <c r="J73" s="18"/>
      <c r="K73" s="20">
        <f>SUMIF('GSTR-2B'!$G:$G,$B73,'GSTR-2B'!J:J)</f>
        <v>540890.69999999995</v>
      </c>
      <c r="L73" s="20">
        <f>SUMIF('GSTR-2B'!$G:$G,$B73,'GSTR-2B'!L:L)</f>
        <v>97361</v>
      </c>
      <c r="M73" s="20">
        <f>SUMIF('GSTR-2B'!$G:$G,$B73,'GSTR-2B'!M:M)</f>
        <v>0</v>
      </c>
      <c r="N73" s="20">
        <f>SUMIF('GSTR-2B'!$G:$G,$B73,'GSTR-2B'!N:N)</f>
        <v>0</v>
      </c>
      <c r="O73" s="20">
        <f>SUMIF('GSTR-2B'!$G:$G,$B73,'GSTR-2B'!O:O)</f>
        <v>0</v>
      </c>
      <c r="P73" s="20"/>
      <c r="Q73" s="20">
        <f t="shared" si="8"/>
        <v>0</v>
      </c>
      <c r="R73" s="20">
        <f t="shared" si="9"/>
        <v>0</v>
      </c>
      <c r="S73" s="20">
        <f t="shared" si="10"/>
        <v>0</v>
      </c>
      <c r="T73" s="20">
        <f t="shared" si="11"/>
        <v>0</v>
      </c>
      <c r="U73" s="20">
        <f>SUMIF('GSTR-2B'!$G:$G,$B73,'GSTR-2B'!U:U)</f>
        <v>0</v>
      </c>
      <c r="V73" s="21"/>
      <c r="W73" s="22" t="str">
        <f>VLOOKUP(A73,'GST Wise Reco'!$A$3:$T$34,20,0)</f>
        <v>Book And 2B Match</v>
      </c>
      <c r="X73" t="s">
        <v>29</v>
      </c>
      <c r="Y73" t="s">
        <v>29</v>
      </c>
    </row>
    <row r="74" spans="1:25" x14ac:dyDescent="0.3">
      <c r="A74" s="18" t="s">
        <v>73</v>
      </c>
      <c r="B74" s="18" t="s">
        <v>383</v>
      </c>
      <c r="C74" s="18"/>
      <c r="D74" s="18"/>
      <c r="E74" s="20">
        <f>SUMIF(Book!$G:$G,$B74,Book!J:J)</f>
        <v>39322.06</v>
      </c>
      <c r="F74" s="20">
        <f>SUMIF(Book!$G:$G,$B74,Book!L:L)</f>
        <v>7078</v>
      </c>
      <c r="G74" s="20">
        <f>SUMIF(Book!$G:$G,$B74,Book!M:M)</f>
        <v>0</v>
      </c>
      <c r="H74" s="20">
        <f>SUMIF(Book!$G:$G,$B74,Book!N:N)</f>
        <v>0</v>
      </c>
      <c r="I74" s="20">
        <f>SUMIF(Book!$G:$G,$B74,Book!O:O)</f>
        <v>0</v>
      </c>
      <c r="J74" s="18"/>
      <c r="K74" s="20">
        <f>SUMIF('GSTR-2B'!$G:$G,$B74,'GSTR-2B'!J:J)</f>
        <v>39322.06</v>
      </c>
      <c r="L74" s="20">
        <f>SUMIF('GSTR-2B'!$G:$G,$B74,'GSTR-2B'!L:L)</f>
        <v>7078</v>
      </c>
      <c r="M74" s="20">
        <f>SUMIF('GSTR-2B'!$G:$G,$B74,'GSTR-2B'!M:M)</f>
        <v>0</v>
      </c>
      <c r="N74" s="20">
        <f>SUMIF('GSTR-2B'!$G:$G,$B74,'GSTR-2B'!N:N)</f>
        <v>0</v>
      </c>
      <c r="O74" s="20">
        <f>SUMIF('GSTR-2B'!$G:$G,$B74,'GSTR-2B'!O:O)</f>
        <v>0</v>
      </c>
      <c r="P74" s="20"/>
      <c r="Q74" s="20">
        <f t="shared" si="8"/>
        <v>0</v>
      </c>
      <c r="R74" s="20">
        <f t="shared" si="9"/>
        <v>0</v>
      </c>
      <c r="S74" s="20">
        <f t="shared" si="10"/>
        <v>0</v>
      </c>
      <c r="T74" s="20">
        <f t="shared" si="11"/>
        <v>0</v>
      </c>
      <c r="U74" s="20">
        <f>SUMIF('GSTR-2B'!$G:$G,$B74,'GSTR-2B'!U:U)</f>
        <v>0</v>
      </c>
      <c r="V74" s="21"/>
      <c r="W74" s="22" t="str">
        <f>VLOOKUP(A74,'GST Wise Reco'!$A$3:$T$34,20,0)</f>
        <v>Book And 2B Match</v>
      </c>
      <c r="X74" t="s">
        <v>29</v>
      </c>
      <c r="Y74" t="s">
        <v>29</v>
      </c>
    </row>
    <row r="75" spans="1:25" x14ac:dyDescent="0.3">
      <c r="A75" s="18" t="s">
        <v>73</v>
      </c>
      <c r="B75" s="18" t="s">
        <v>389</v>
      </c>
      <c r="C75" s="18"/>
      <c r="D75" s="18"/>
      <c r="E75" s="20">
        <f>SUMIF(Book!$G:$G,$B75,Book!J:J)</f>
        <v>38965.629999999997</v>
      </c>
      <c r="F75" s="20">
        <f>SUMIF(Book!$G:$G,$B75,Book!L:L)</f>
        <v>7014</v>
      </c>
      <c r="G75" s="20">
        <f>SUMIF(Book!$G:$G,$B75,Book!M:M)</f>
        <v>0</v>
      </c>
      <c r="H75" s="20">
        <f>SUMIF(Book!$G:$G,$B75,Book!N:N)</f>
        <v>0</v>
      </c>
      <c r="I75" s="20">
        <f>SUMIF(Book!$G:$G,$B75,Book!O:O)</f>
        <v>0</v>
      </c>
      <c r="J75" s="18"/>
      <c r="K75" s="20">
        <f>SUMIF('GSTR-2B'!$G:$G,$B75,'GSTR-2B'!J:J)</f>
        <v>38965.629999999997</v>
      </c>
      <c r="L75" s="20">
        <f>SUMIF('GSTR-2B'!$G:$G,$B75,'GSTR-2B'!L:L)</f>
        <v>7014</v>
      </c>
      <c r="M75" s="20">
        <f>SUMIF('GSTR-2B'!$G:$G,$B75,'GSTR-2B'!M:M)</f>
        <v>0</v>
      </c>
      <c r="N75" s="20">
        <f>SUMIF('GSTR-2B'!$G:$G,$B75,'GSTR-2B'!N:N)</f>
        <v>0</v>
      </c>
      <c r="O75" s="20">
        <f>SUMIF('GSTR-2B'!$G:$G,$B75,'GSTR-2B'!O:O)</f>
        <v>0</v>
      </c>
      <c r="P75" s="20"/>
      <c r="Q75" s="20">
        <f t="shared" si="8"/>
        <v>0</v>
      </c>
      <c r="R75" s="20">
        <f t="shared" si="9"/>
        <v>0</v>
      </c>
      <c r="S75" s="20">
        <f t="shared" si="10"/>
        <v>0</v>
      </c>
      <c r="T75" s="20">
        <f t="shared" si="11"/>
        <v>0</v>
      </c>
      <c r="U75" s="20">
        <f>SUMIF('GSTR-2B'!$G:$G,$B75,'GSTR-2B'!U:U)</f>
        <v>0</v>
      </c>
      <c r="V75" s="21"/>
      <c r="W75" s="22" t="str">
        <f>VLOOKUP(A75,'GST Wise Reco'!$A$3:$T$34,20,0)</f>
        <v>Book And 2B Match</v>
      </c>
      <c r="X75" t="s">
        <v>29</v>
      </c>
      <c r="Y75" t="s">
        <v>29</v>
      </c>
    </row>
    <row r="76" spans="1:25" x14ac:dyDescent="0.3">
      <c r="A76" s="18" t="s">
        <v>73</v>
      </c>
      <c r="B76" s="18" t="s">
        <v>399</v>
      </c>
      <c r="C76" s="18"/>
      <c r="D76" s="18"/>
      <c r="E76" s="20">
        <f>SUMIF(Book!$G:$G,$B76,Book!J:J)</f>
        <v>38782.699999999997</v>
      </c>
      <c r="F76" s="20">
        <f>SUMIF(Book!$G:$G,$B76,Book!L:L)</f>
        <v>6981</v>
      </c>
      <c r="G76" s="20">
        <f>SUMIF(Book!$G:$G,$B76,Book!M:M)</f>
        <v>0</v>
      </c>
      <c r="H76" s="20">
        <f>SUMIF(Book!$G:$G,$B76,Book!N:N)</f>
        <v>0</v>
      </c>
      <c r="I76" s="20">
        <f>SUMIF(Book!$G:$G,$B76,Book!O:O)</f>
        <v>0</v>
      </c>
      <c r="J76" s="18"/>
      <c r="K76" s="20">
        <f>SUMIF('GSTR-2B'!$G:$G,$B76,'GSTR-2B'!J:J)</f>
        <v>38782.699999999997</v>
      </c>
      <c r="L76" s="20">
        <f>SUMIF('GSTR-2B'!$G:$G,$B76,'GSTR-2B'!L:L)</f>
        <v>6981</v>
      </c>
      <c r="M76" s="20">
        <f>SUMIF('GSTR-2B'!$G:$G,$B76,'GSTR-2B'!M:M)</f>
        <v>0</v>
      </c>
      <c r="N76" s="20">
        <f>SUMIF('GSTR-2B'!$G:$G,$B76,'GSTR-2B'!N:N)</f>
        <v>0</v>
      </c>
      <c r="O76" s="20">
        <f>SUMIF('GSTR-2B'!$G:$G,$B76,'GSTR-2B'!O:O)</f>
        <v>0</v>
      </c>
      <c r="P76" s="20"/>
      <c r="Q76" s="20">
        <f t="shared" si="8"/>
        <v>0</v>
      </c>
      <c r="R76" s="20">
        <f t="shared" si="9"/>
        <v>0</v>
      </c>
      <c r="S76" s="20">
        <f t="shared" si="10"/>
        <v>0</v>
      </c>
      <c r="T76" s="20">
        <f t="shared" si="11"/>
        <v>0</v>
      </c>
      <c r="U76" s="20">
        <f>SUMIF('GSTR-2B'!$G:$G,$B76,'GSTR-2B'!U:U)</f>
        <v>0</v>
      </c>
      <c r="V76" s="21"/>
      <c r="W76" s="22" t="str">
        <f>VLOOKUP(A76,'GST Wise Reco'!$A$3:$T$34,20,0)</f>
        <v>Book And 2B Match</v>
      </c>
      <c r="X76" t="s">
        <v>29</v>
      </c>
      <c r="Y76" t="s">
        <v>29</v>
      </c>
    </row>
    <row r="77" spans="1:25" x14ac:dyDescent="0.3">
      <c r="A77" s="18" t="s">
        <v>73</v>
      </c>
      <c r="B77" s="18" t="s">
        <v>459</v>
      </c>
      <c r="C77" s="18"/>
      <c r="D77" s="18"/>
      <c r="E77" s="20">
        <f>SUMIF(Book!$G:$G,$B77,Book!J:J)</f>
        <v>0</v>
      </c>
      <c r="F77" s="20">
        <f>SUMIF(Book!$G:$G,$B77,Book!L:L)</f>
        <v>0</v>
      </c>
      <c r="G77" s="20">
        <f>SUMIF(Book!$G:$G,$B77,Book!M:M)</f>
        <v>0</v>
      </c>
      <c r="H77" s="20">
        <f>SUMIF(Book!$G:$G,$B77,Book!N:N)</f>
        <v>0</v>
      </c>
      <c r="I77" s="20">
        <f>SUMIF(Book!$G:$G,$B77,Book!O:O)</f>
        <v>0</v>
      </c>
      <c r="J77" s="18"/>
      <c r="K77" s="20">
        <f>SUMIF('GSTR-2B'!$G:$G,$B77,'GSTR-2B'!J:J)</f>
        <v>583328.28</v>
      </c>
      <c r="L77" s="20">
        <f>SUMIF('GSTR-2B'!$G:$G,$B77,'GSTR-2B'!L:L)</f>
        <v>105000</v>
      </c>
      <c r="M77" s="20">
        <f>SUMIF('GSTR-2B'!$G:$G,$B77,'GSTR-2B'!M:M)</f>
        <v>0</v>
      </c>
      <c r="N77" s="20">
        <f>SUMIF('GSTR-2B'!$G:$G,$B77,'GSTR-2B'!N:N)</f>
        <v>0</v>
      </c>
      <c r="O77" s="20">
        <f>SUMIF('GSTR-2B'!$G:$G,$B77,'GSTR-2B'!O:O)</f>
        <v>0</v>
      </c>
      <c r="P77" s="20"/>
      <c r="Q77" s="20">
        <f t="shared" si="8"/>
        <v>-583328.28</v>
      </c>
      <c r="R77" s="20">
        <f t="shared" si="9"/>
        <v>-105000</v>
      </c>
      <c r="S77" s="20">
        <f t="shared" si="10"/>
        <v>0</v>
      </c>
      <c r="T77" s="20">
        <f t="shared" si="11"/>
        <v>0</v>
      </c>
      <c r="U77" s="20">
        <f>SUMIF('GSTR-2B'!$G:$G,$B77,'GSTR-2B'!U:U)</f>
        <v>0</v>
      </c>
      <c r="V77" s="21"/>
      <c r="W77" s="22" t="str">
        <f>VLOOKUP(A77,'GST Wise Reco'!$A$3:$T$34,20,0)</f>
        <v>Book And 2B Match</v>
      </c>
      <c r="X77" t="s">
        <v>485</v>
      </c>
      <c r="Y77" t="s">
        <v>485</v>
      </c>
    </row>
    <row r="78" spans="1:25" x14ac:dyDescent="0.3">
      <c r="A78" s="18" t="s">
        <v>73</v>
      </c>
      <c r="B78" s="18" t="s">
        <v>476</v>
      </c>
      <c r="C78" s="18"/>
      <c r="D78" s="18"/>
      <c r="E78" s="20">
        <f>SUMIF(Book!$G:$G,$B78,Book!J:J)</f>
        <v>0</v>
      </c>
      <c r="F78" s="20">
        <f>SUMIF(Book!$G:$G,$B78,Book!L:L)</f>
        <v>0</v>
      </c>
      <c r="G78" s="20">
        <f>SUMIF(Book!$G:$G,$B78,Book!M:M)</f>
        <v>0</v>
      </c>
      <c r="H78" s="20">
        <f>SUMIF(Book!$G:$G,$B78,Book!N:N)</f>
        <v>0</v>
      </c>
      <c r="I78" s="20">
        <f>SUMIF(Book!$G:$G,$B78,Book!O:O)</f>
        <v>0</v>
      </c>
      <c r="J78" s="18"/>
      <c r="K78" s="20">
        <f>SUMIF('GSTR-2B'!$G:$G,$B78,'GSTR-2B'!J:J)</f>
        <v>-583328.28</v>
      </c>
      <c r="L78" s="20">
        <f>SUMIF('GSTR-2B'!$G:$G,$B78,'GSTR-2B'!L:L)</f>
        <v>-105000</v>
      </c>
      <c r="M78" s="20">
        <f>SUMIF('GSTR-2B'!$G:$G,$B78,'GSTR-2B'!M:M)</f>
        <v>0</v>
      </c>
      <c r="N78" s="20">
        <f>SUMIF('GSTR-2B'!$G:$G,$B78,'GSTR-2B'!N:N)</f>
        <v>0</v>
      </c>
      <c r="O78" s="20">
        <f>SUMIF('GSTR-2B'!$G:$G,$B78,'GSTR-2B'!O:O)</f>
        <v>0</v>
      </c>
      <c r="P78" s="20"/>
      <c r="Q78" s="20">
        <f t="shared" si="8"/>
        <v>583328.28</v>
      </c>
      <c r="R78" s="20">
        <f t="shared" si="9"/>
        <v>105000</v>
      </c>
      <c r="S78" s="20">
        <f t="shared" si="10"/>
        <v>0</v>
      </c>
      <c r="T78" s="20">
        <f t="shared" si="11"/>
        <v>0</v>
      </c>
      <c r="U78" s="20">
        <f>SUMIF('GSTR-2B'!$G:$G,$B78,'GSTR-2B'!U:U)</f>
        <v>0</v>
      </c>
      <c r="V78" s="21"/>
      <c r="W78" s="22" t="str">
        <f>VLOOKUP(A78,'GST Wise Reco'!$A$3:$T$34,20,0)</f>
        <v>Book And 2B Match</v>
      </c>
      <c r="X78" t="s">
        <v>485</v>
      </c>
      <c r="Y78" t="s">
        <v>485</v>
      </c>
    </row>
    <row r="79" spans="1:25" x14ac:dyDescent="0.3">
      <c r="A79" s="18" t="s">
        <v>70</v>
      </c>
      <c r="B79" s="18" t="s">
        <v>312</v>
      </c>
      <c r="C79" s="18"/>
      <c r="D79" s="18"/>
      <c r="E79" s="20">
        <f>SUMIF(Book!$G:$G,$B79,Book!J:J)</f>
        <v>26570</v>
      </c>
      <c r="F79" s="20">
        <f>SUMIF(Book!$G:$G,$B79,Book!L:L)</f>
        <v>4782.6000000000004</v>
      </c>
      <c r="G79" s="20">
        <f>SUMIF(Book!$G:$G,$B79,Book!M:M)</f>
        <v>0</v>
      </c>
      <c r="H79" s="20">
        <f>SUMIF(Book!$G:$G,$B79,Book!N:N)</f>
        <v>0</v>
      </c>
      <c r="I79" s="20">
        <f>SUMIF(Book!$G:$G,$B79,Book!O:O)</f>
        <v>0</v>
      </c>
      <c r="J79" s="18"/>
      <c r="K79" s="20">
        <f>SUMIF('GSTR-2B'!$G:$G,$B79,'GSTR-2B'!J:J)</f>
        <v>26570</v>
      </c>
      <c r="L79" s="20">
        <f>SUMIF('GSTR-2B'!$G:$G,$B79,'GSTR-2B'!L:L)</f>
        <v>4782.6000000000004</v>
      </c>
      <c r="M79" s="20">
        <f>SUMIF('GSTR-2B'!$G:$G,$B79,'GSTR-2B'!M:M)</f>
        <v>0</v>
      </c>
      <c r="N79" s="20">
        <f>SUMIF('GSTR-2B'!$G:$G,$B79,'GSTR-2B'!N:N)</f>
        <v>0</v>
      </c>
      <c r="O79" s="20">
        <f>SUMIF('GSTR-2B'!$G:$G,$B79,'GSTR-2B'!O:O)</f>
        <v>0</v>
      </c>
      <c r="P79" s="20"/>
      <c r="Q79" s="20">
        <f t="shared" si="8"/>
        <v>0</v>
      </c>
      <c r="R79" s="20">
        <f t="shared" si="9"/>
        <v>0</v>
      </c>
      <c r="S79" s="20">
        <f t="shared" si="10"/>
        <v>0</v>
      </c>
      <c r="T79" s="20">
        <f t="shared" si="11"/>
        <v>0</v>
      </c>
      <c r="U79" s="20">
        <f>SUMIF('GSTR-2B'!$G:$G,$B79,'GSTR-2B'!U:U)</f>
        <v>0</v>
      </c>
      <c r="V79" s="21"/>
      <c r="W79" s="22" t="str">
        <f>VLOOKUP(A79,'GST Wise Reco'!$A$3:$T$34,20,0)</f>
        <v>Book And 2B Match</v>
      </c>
      <c r="X79" t="s">
        <v>29</v>
      </c>
      <c r="Y79" t="s">
        <v>29</v>
      </c>
    </row>
    <row r="80" spans="1:25" x14ac:dyDescent="0.3">
      <c r="A80" s="18" t="s">
        <v>70</v>
      </c>
      <c r="B80" s="18" t="s">
        <v>320</v>
      </c>
      <c r="C80" s="18"/>
      <c r="D80" s="18"/>
      <c r="E80" s="20">
        <f>SUMIF(Book!$G:$G,$B80,Book!J:J)</f>
        <v>16598</v>
      </c>
      <c r="F80" s="20">
        <f>SUMIF(Book!$G:$G,$B80,Book!L:L)</f>
        <v>2987.64</v>
      </c>
      <c r="G80" s="20">
        <f>SUMIF(Book!$G:$G,$B80,Book!M:M)</f>
        <v>0</v>
      </c>
      <c r="H80" s="20">
        <f>SUMIF(Book!$G:$G,$B80,Book!N:N)</f>
        <v>0</v>
      </c>
      <c r="I80" s="20">
        <f>SUMIF(Book!$G:$G,$B80,Book!O:O)</f>
        <v>0</v>
      </c>
      <c r="J80" s="18"/>
      <c r="K80" s="20">
        <f>SUMIF('GSTR-2B'!$G:$G,$B80,'GSTR-2B'!J:J)</f>
        <v>16598</v>
      </c>
      <c r="L80" s="20">
        <f>SUMIF('GSTR-2B'!$G:$G,$B80,'GSTR-2B'!L:L)</f>
        <v>2987.64</v>
      </c>
      <c r="M80" s="20">
        <f>SUMIF('GSTR-2B'!$G:$G,$B80,'GSTR-2B'!M:M)</f>
        <v>0</v>
      </c>
      <c r="N80" s="20">
        <f>SUMIF('GSTR-2B'!$G:$G,$B80,'GSTR-2B'!N:N)</f>
        <v>0</v>
      </c>
      <c r="O80" s="20">
        <f>SUMIF('GSTR-2B'!$G:$G,$B80,'GSTR-2B'!O:O)</f>
        <v>0</v>
      </c>
      <c r="P80" s="20"/>
      <c r="Q80" s="20">
        <f t="shared" si="8"/>
        <v>0</v>
      </c>
      <c r="R80" s="20">
        <f t="shared" si="9"/>
        <v>0</v>
      </c>
      <c r="S80" s="20">
        <f t="shared" si="10"/>
        <v>0</v>
      </c>
      <c r="T80" s="20">
        <f t="shared" si="11"/>
        <v>0</v>
      </c>
      <c r="U80" s="20">
        <f>SUMIF('GSTR-2B'!$G:$G,$B80,'GSTR-2B'!U:U)</f>
        <v>0</v>
      </c>
      <c r="V80" s="21"/>
      <c r="W80" s="22" t="str">
        <f>VLOOKUP(A80,'GST Wise Reco'!$A$3:$T$34,20,0)</f>
        <v>Book And 2B Match</v>
      </c>
      <c r="X80" t="s">
        <v>29</v>
      </c>
      <c r="Y80" t="s">
        <v>29</v>
      </c>
    </row>
    <row r="81" spans="1:25" x14ac:dyDescent="0.3">
      <c r="A81" s="18" t="s">
        <v>70</v>
      </c>
      <c r="B81" s="18" t="s">
        <v>434</v>
      </c>
      <c r="C81" s="18"/>
      <c r="D81" s="18"/>
      <c r="E81" s="20">
        <f>SUMIF(Book!$G:$G,$B81,Book!J:J)</f>
        <v>58983</v>
      </c>
      <c r="F81" s="20">
        <f>SUMIF(Book!$G:$G,$B81,Book!L:L)</f>
        <v>10616.94</v>
      </c>
      <c r="G81" s="20">
        <f>SUMIF(Book!$G:$G,$B81,Book!M:M)</f>
        <v>0</v>
      </c>
      <c r="H81" s="20">
        <f>SUMIF(Book!$G:$G,$B81,Book!N:N)</f>
        <v>0</v>
      </c>
      <c r="I81" s="20">
        <f>SUMIF(Book!$G:$G,$B81,Book!O:O)</f>
        <v>0</v>
      </c>
      <c r="J81" s="18"/>
      <c r="K81" s="20">
        <f>SUMIF('GSTR-2B'!$G:$G,$B81,'GSTR-2B'!J:J)</f>
        <v>58983</v>
      </c>
      <c r="L81" s="20">
        <f>SUMIF('GSTR-2B'!$G:$G,$B81,'GSTR-2B'!L:L)</f>
        <v>10616.94</v>
      </c>
      <c r="M81" s="20">
        <f>SUMIF('GSTR-2B'!$G:$G,$B81,'GSTR-2B'!M:M)</f>
        <v>0</v>
      </c>
      <c r="N81" s="20">
        <f>SUMIF('GSTR-2B'!$G:$G,$B81,'GSTR-2B'!N:N)</f>
        <v>0</v>
      </c>
      <c r="O81" s="20">
        <f>SUMIF('GSTR-2B'!$G:$G,$B81,'GSTR-2B'!O:O)</f>
        <v>0</v>
      </c>
      <c r="P81" s="20"/>
      <c r="Q81" s="20">
        <f t="shared" si="8"/>
        <v>0</v>
      </c>
      <c r="R81" s="20">
        <f t="shared" si="9"/>
        <v>0</v>
      </c>
      <c r="S81" s="20">
        <f t="shared" si="10"/>
        <v>0</v>
      </c>
      <c r="T81" s="20">
        <f t="shared" si="11"/>
        <v>0</v>
      </c>
      <c r="U81" s="20">
        <f>SUMIF('GSTR-2B'!$G:$G,$B81,'GSTR-2B'!U:U)</f>
        <v>0</v>
      </c>
      <c r="V81" s="21"/>
      <c r="W81" s="22" t="str">
        <f>VLOOKUP(A81,'GST Wise Reco'!$A$3:$T$34,20,0)</f>
        <v>Book And 2B Match</v>
      </c>
      <c r="X81" t="s">
        <v>29</v>
      </c>
      <c r="Y81" t="s">
        <v>29</v>
      </c>
    </row>
    <row r="82" spans="1:25" x14ac:dyDescent="0.3">
      <c r="A82" s="18" t="s">
        <v>84</v>
      </c>
      <c r="B82" s="18" t="s">
        <v>431</v>
      </c>
      <c r="C82" s="18"/>
      <c r="D82" s="18"/>
      <c r="E82" s="20">
        <f>SUMIF(Book!$G:$G,$B82,Book!J:J)</f>
        <v>17916.669999999998</v>
      </c>
      <c r="F82" s="20">
        <f>SUMIF(Book!$G:$G,$B82,Book!L:L)</f>
        <v>0</v>
      </c>
      <c r="G82" s="20">
        <f>SUMIF(Book!$G:$G,$B82,Book!M:M)</f>
        <v>1612.5</v>
      </c>
      <c r="H82" s="20">
        <f>SUMIF(Book!$G:$G,$B82,Book!N:N)</f>
        <v>1612.5</v>
      </c>
      <c r="I82" s="20">
        <f>SUMIF(Book!$G:$G,$B82,Book!O:O)</f>
        <v>0</v>
      </c>
      <c r="J82" s="18"/>
      <c r="K82" s="20">
        <f>SUMIF('GSTR-2B'!$G:$G,$B82,'GSTR-2B'!J:J)</f>
        <v>17916.669999999998</v>
      </c>
      <c r="L82" s="20">
        <f>SUMIF('GSTR-2B'!$G:$G,$B82,'GSTR-2B'!L:L)</f>
        <v>0</v>
      </c>
      <c r="M82" s="20">
        <f>SUMIF('GSTR-2B'!$G:$G,$B82,'GSTR-2B'!M:M)</f>
        <v>1612.5</v>
      </c>
      <c r="N82" s="20">
        <f>SUMIF('GSTR-2B'!$G:$G,$B82,'GSTR-2B'!N:N)</f>
        <v>1612.5</v>
      </c>
      <c r="O82" s="20">
        <f>SUMIF('GSTR-2B'!$G:$G,$B82,'GSTR-2B'!O:O)</f>
        <v>0</v>
      </c>
      <c r="P82" s="20"/>
      <c r="Q82" s="20">
        <f t="shared" si="8"/>
        <v>0</v>
      </c>
      <c r="R82" s="20">
        <f t="shared" si="9"/>
        <v>0</v>
      </c>
      <c r="S82" s="20">
        <f t="shared" si="10"/>
        <v>0</v>
      </c>
      <c r="T82" s="20">
        <f t="shared" si="11"/>
        <v>0</v>
      </c>
      <c r="U82" s="20">
        <f>SUMIF('GSTR-2B'!$G:$G,$B82,'GSTR-2B'!U:U)</f>
        <v>0</v>
      </c>
      <c r="V82" s="21"/>
      <c r="W82" s="22" t="str">
        <f>VLOOKUP(A82,'GST Wise Reco'!$A$3:$T$34,20,0)</f>
        <v>Book And 2B Match</v>
      </c>
      <c r="X82" t="s">
        <v>29</v>
      </c>
      <c r="Y82" t="s">
        <v>29</v>
      </c>
    </row>
    <row r="83" spans="1:25" x14ac:dyDescent="0.3">
      <c r="A83" s="18" t="s">
        <v>86</v>
      </c>
      <c r="B83" s="18" t="s">
        <v>439</v>
      </c>
      <c r="C83" s="18"/>
      <c r="D83" s="18"/>
      <c r="E83" s="20">
        <f>SUMIF(Book!$G:$G,$B83,Book!J:J)</f>
        <v>2000</v>
      </c>
      <c r="F83" s="20">
        <f>SUMIF(Book!$G:$G,$B83,Book!L:L)</f>
        <v>0</v>
      </c>
      <c r="G83" s="20">
        <f>SUMIF(Book!$G:$G,$B83,Book!M:M)</f>
        <v>180</v>
      </c>
      <c r="H83" s="20">
        <f>SUMIF(Book!$G:$G,$B83,Book!N:N)</f>
        <v>180</v>
      </c>
      <c r="I83" s="20">
        <f>SUMIF(Book!$G:$G,$B83,Book!O:O)</f>
        <v>0</v>
      </c>
      <c r="J83" s="18"/>
      <c r="K83" s="20">
        <f>SUMIF('GSTR-2B'!$G:$G,$B83,'GSTR-2B'!J:J)</f>
        <v>2000</v>
      </c>
      <c r="L83" s="20">
        <f>SUMIF('GSTR-2B'!$G:$G,$B83,'GSTR-2B'!L:L)</f>
        <v>0</v>
      </c>
      <c r="M83" s="20">
        <f>SUMIF('GSTR-2B'!$G:$G,$B83,'GSTR-2B'!M:M)</f>
        <v>180</v>
      </c>
      <c r="N83" s="20">
        <f>SUMIF('GSTR-2B'!$G:$G,$B83,'GSTR-2B'!N:N)</f>
        <v>180</v>
      </c>
      <c r="O83" s="20">
        <f>SUMIF('GSTR-2B'!$G:$G,$B83,'GSTR-2B'!O:O)</f>
        <v>0</v>
      </c>
      <c r="P83" s="20"/>
      <c r="Q83" s="20">
        <f t="shared" si="8"/>
        <v>0</v>
      </c>
      <c r="R83" s="20">
        <f t="shared" si="9"/>
        <v>0</v>
      </c>
      <c r="S83" s="20">
        <f t="shared" si="10"/>
        <v>0</v>
      </c>
      <c r="T83" s="20">
        <f t="shared" si="11"/>
        <v>0</v>
      </c>
      <c r="U83" s="20">
        <f>SUMIF('GSTR-2B'!$G:$G,$B83,'GSTR-2B'!U:U)</f>
        <v>0</v>
      </c>
      <c r="V83" s="21"/>
      <c r="W83" s="22" t="str">
        <f>VLOOKUP(A83,'GST Wise Reco'!$A$3:$T$34,20,0)</f>
        <v>Book And 2B Match</v>
      </c>
      <c r="X83" t="s">
        <v>29</v>
      </c>
      <c r="Y83" t="s">
        <v>29</v>
      </c>
    </row>
    <row r="84" spans="1:25" x14ac:dyDescent="0.3">
      <c r="A84" s="18" t="s">
        <v>86</v>
      </c>
      <c r="B84" s="18" t="s">
        <v>440</v>
      </c>
      <c r="C84" s="18"/>
      <c r="D84" s="18"/>
      <c r="E84" s="20">
        <f>SUMIF(Book!$G:$G,$B84,Book!J:J)</f>
        <v>15</v>
      </c>
      <c r="F84" s="20">
        <f>SUMIF(Book!$G:$G,$B84,Book!L:L)</f>
        <v>0</v>
      </c>
      <c r="G84" s="20">
        <f>SUMIF(Book!$G:$G,$B84,Book!M:M)</f>
        <v>1.35</v>
      </c>
      <c r="H84" s="20">
        <f>SUMIF(Book!$G:$G,$B84,Book!N:N)</f>
        <v>1.35</v>
      </c>
      <c r="I84" s="20">
        <f>SUMIF(Book!$G:$G,$B84,Book!O:O)</f>
        <v>0</v>
      </c>
      <c r="J84" s="18"/>
      <c r="K84" s="20">
        <f>SUMIF('GSTR-2B'!$G:$G,$B84,'GSTR-2B'!J:J)</f>
        <v>15</v>
      </c>
      <c r="L84" s="20">
        <f>SUMIF('GSTR-2B'!$G:$G,$B84,'GSTR-2B'!L:L)</f>
        <v>0</v>
      </c>
      <c r="M84" s="20">
        <f>SUMIF('GSTR-2B'!$G:$G,$B84,'GSTR-2B'!M:M)</f>
        <v>1.35</v>
      </c>
      <c r="N84" s="20">
        <f>SUMIF('GSTR-2B'!$G:$G,$B84,'GSTR-2B'!N:N)</f>
        <v>1.35</v>
      </c>
      <c r="O84" s="20">
        <f>SUMIF('GSTR-2B'!$G:$G,$B84,'GSTR-2B'!O:O)</f>
        <v>0</v>
      </c>
      <c r="P84" s="20"/>
      <c r="Q84" s="20">
        <f t="shared" si="8"/>
        <v>0</v>
      </c>
      <c r="R84" s="20">
        <f t="shared" si="9"/>
        <v>0</v>
      </c>
      <c r="S84" s="20">
        <f t="shared" si="10"/>
        <v>0</v>
      </c>
      <c r="T84" s="20">
        <f t="shared" si="11"/>
        <v>0</v>
      </c>
      <c r="U84" s="20">
        <f>SUMIF('GSTR-2B'!$G:$G,$B84,'GSTR-2B'!U:U)</f>
        <v>0</v>
      </c>
      <c r="V84" s="21"/>
      <c r="W84" s="22" t="str">
        <f>VLOOKUP(A84,'GST Wise Reco'!$A$3:$T$34,20,0)</f>
        <v>Book And 2B Match</v>
      </c>
      <c r="X84" t="s">
        <v>29</v>
      </c>
      <c r="Y84" t="s">
        <v>29</v>
      </c>
    </row>
    <row r="85" spans="1:25" x14ac:dyDescent="0.3">
      <c r="A85" s="18" t="s">
        <v>86</v>
      </c>
      <c r="B85" s="18" t="s">
        <v>441</v>
      </c>
      <c r="C85" s="18"/>
      <c r="D85" s="18"/>
      <c r="E85" s="20">
        <f>SUMIF(Book!$G:$G,$B85,Book!J:J)</f>
        <v>448650</v>
      </c>
      <c r="F85" s="20">
        <f>SUMIF(Book!$G:$G,$B85,Book!L:L)</f>
        <v>0</v>
      </c>
      <c r="G85" s="20">
        <f>SUMIF(Book!$G:$G,$B85,Book!M:M)</f>
        <v>40378.5</v>
      </c>
      <c r="H85" s="20">
        <f>SUMIF(Book!$G:$G,$B85,Book!N:N)</f>
        <v>40378.5</v>
      </c>
      <c r="I85" s="20">
        <f>SUMIF(Book!$G:$G,$B85,Book!O:O)</f>
        <v>0</v>
      </c>
      <c r="J85" s="18"/>
      <c r="K85" s="20">
        <f>SUMIF('GSTR-2B'!$G:$G,$B85,'GSTR-2B'!J:J)</f>
        <v>448650</v>
      </c>
      <c r="L85" s="20">
        <f>SUMIF('GSTR-2B'!$G:$G,$B85,'GSTR-2B'!L:L)</f>
        <v>0</v>
      </c>
      <c r="M85" s="20">
        <f>SUMIF('GSTR-2B'!$G:$G,$B85,'GSTR-2B'!M:M)</f>
        <v>40378.5</v>
      </c>
      <c r="N85" s="20">
        <f>SUMIF('GSTR-2B'!$G:$G,$B85,'GSTR-2B'!N:N)</f>
        <v>40378.5</v>
      </c>
      <c r="O85" s="20">
        <f>SUMIF('GSTR-2B'!$G:$G,$B85,'GSTR-2B'!O:O)</f>
        <v>0</v>
      </c>
      <c r="P85" s="20"/>
      <c r="Q85" s="20">
        <f t="shared" si="8"/>
        <v>0</v>
      </c>
      <c r="R85" s="20">
        <f t="shared" si="9"/>
        <v>0</v>
      </c>
      <c r="S85" s="20">
        <f t="shared" si="10"/>
        <v>0</v>
      </c>
      <c r="T85" s="20">
        <f t="shared" si="11"/>
        <v>0</v>
      </c>
      <c r="U85" s="20">
        <f>SUMIF('GSTR-2B'!$G:$G,$B85,'GSTR-2B'!U:U)</f>
        <v>0</v>
      </c>
      <c r="V85" s="21"/>
      <c r="W85" s="22" t="str">
        <f>VLOOKUP(A85,'GST Wise Reco'!$A$3:$T$34,20,0)</f>
        <v>Book And 2B Match</v>
      </c>
      <c r="X85" t="s">
        <v>29</v>
      </c>
      <c r="Y85" t="s">
        <v>29</v>
      </c>
    </row>
    <row r="86" spans="1:25" x14ac:dyDescent="0.3">
      <c r="A86" s="18" t="s">
        <v>86</v>
      </c>
      <c r="B86" s="18" t="s">
        <v>442</v>
      </c>
      <c r="C86" s="18"/>
      <c r="D86" s="18"/>
      <c r="E86" s="20">
        <f>SUMIF(Book!$G:$G,$B86,Book!J:J)</f>
        <v>199800</v>
      </c>
      <c r="F86" s="20">
        <f>SUMIF(Book!$G:$G,$B86,Book!L:L)</f>
        <v>0</v>
      </c>
      <c r="G86" s="20">
        <f>SUMIF(Book!$G:$G,$B86,Book!M:M)</f>
        <v>17982</v>
      </c>
      <c r="H86" s="20">
        <f>SUMIF(Book!$G:$G,$B86,Book!N:N)</f>
        <v>17982</v>
      </c>
      <c r="I86" s="20">
        <f>SUMIF(Book!$G:$G,$B86,Book!O:O)</f>
        <v>0</v>
      </c>
      <c r="J86" s="18"/>
      <c r="K86" s="20">
        <f>SUMIF('GSTR-2B'!$G:$G,$B86,'GSTR-2B'!J:J)</f>
        <v>199800</v>
      </c>
      <c r="L86" s="20">
        <f>SUMIF('GSTR-2B'!$G:$G,$B86,'GSTR-2B'!L:L)</f>
        <v>0</v>
      </c>
      <c r="M86" s="20">
        <f>SUMIF('GSTR-2B'!$G:$G,$B86,'GSTR-2B'!M:M)</f>
        <v>17982</v>
      </c>
      <c r="N86" s="20">
        <f>SUMIF('GSTR-2B'!$G:$G,$B86,'GSTR-2B'!N:N)</f>
        <v>17982</v>
      </c>
      <c r="O86" s="20">
        <f>SUMIF('GSTR-2B'!$G:$G,$B86,'GSTR-2B'!O:O)</f>
        <v>0</v>
      </c>
      <c r="P86" s="20"/>
      <c r="Q86" s="20">
        <f t="shared" si="8"/>
        <v>0</v>
      </c>
      <c r="R86" s="20">
        <f t="shared" si="9"/>
        <v>0</v>
      </c>
      <c r="S86" s="20">
        <f t="shared" si="10"/>
        <v>0</v>
      </c>
      <c r="T86" s="20">
        <f t="shared" si="11"/>
        <v>0</v>
      </c>
      <c r="U86" s="20">
        <f>SUMIF('GSTR-2B'!$G:$G,$B86,'GSTR-2B'!U:U)</f>
        <v>0</v>
      </c>
      <c r="V86" s="21"/>
      <c r="W86" s="22" t="str">
        <f>VLOOKUP(A86,'GST Wise Reco'!$A$3:$T$34,20,0)</f>
        <v>Book And 2B Match</v>
      </c>
      <c r="X86" t="s">
        <v>29</v>
      </c>
      <c r="Y86" t="s">
        <v>29</v>
      </c>
    </row>
    <row r="87" spans="1:25" x14ac:dyDescent="0.3">
      <c r="A87" s="18" t="s">
        <v>86</v>
      </c>
      <c r="B87" s="18" t="s">
        <v>443</v>
      </c>
      <c r="C87" s="18"/>
      <c r="D87" s="18"/>
      <c r="E87" s="20">
        <f>SUMIF(Book!$G:$G,$B87,Book!J:J)</f>
        <v>200</v>
      </c>
      <c r="F87" s="20">
        <f>SUMIF(Book!$G:$G,$B87,Book!L:L)</f>
        <v>0</v>
      </c>
      <c r="G87" s="20">
        <f>SUMIF(Book!$G:$G,$B87,Book!M:M)</f>
        <v>18</v>
      </c>
      <c r="H87" s="20">
        <f>SUMIF(Book!$G:$G,$B87,Book!N:N)</f>
        <v>18</v>
      </c>
      <c r="I87" s="20">
        <f>SUMIF(Book!$G:$G,$B87,Book!O:O)</f>
        <v>0</v>
      </c>
      <c r="J87" s="18"/>
      <c r="K87" s="20">
        <f>SUMIF('GSTR-2B'!$G:$G,$B87,'GSTR-2B'!J:J)</f>
        <v>200</v>
      </c>
      <c r="L87" s="20">
        <f>SUMIF('GSTR-2B'!$G:$G,$B87,'GSTR-2B'!L:L)</f>
        <v>0</v>
      </c>
      <c r="M87" s="20">
        <f>SUMIF('GSTR-2B'!$G:$G,$B87,'GSTR-2B'!M:M)</f>
        <v>18</v>
      </c>
      <c r="N87" s="20">
        <f>SUMIF('GSTR-2B'!$G:$G,$B87,'GSTR-2B'!N:N)</f>
        <v>18</v>
      </c>
      <c r="O87" s="20">
        <f>SUMIF('GSTR-2B'!$G:$G,$B87,'GSTR-2B'!O:O)</f>
        <v>0</v>
      </c>
      <c r="P87" s="20"/>
      <c r="Q87" s="20">
        <f t="shared" si="8"/>
        <v>0</v>
      </c>
      <c r="R87" s="20">
        <f t="shared" si="9"/>
        <v>0</v>
      </c>
      <c r="S87" s="20">
        <f t="shared" si="10"/>
        <v>0</v>
      </c>
      <c r="T87" s="20">
        <f t="shared" si="11"/>
        <v>0</v>
      </c>
      <c r="U87" s="20">
        <f>SUMIF('GSTR-2B'!$G:$G,$B87,'GSTR-2B'!U:U)</f>
        <v>0</v>
      </c>
      <c r="V87" s="21"/>
      <c r="W87" s="22" t="str">
        <f>VLOOKUP(A87,'GST Wise Reco'!$A$3:$T$34,20,0)</f>
        <v>Book And 2B Match</v>
      </c>
      <c r="X87" t="s">
        <v>29</v>
      </c>
      <c r="Y87" t="s">
        <v>29</v>
      </c>
    </row>
    <row r="88" spans="1:25" x14ac:dyDescent="0.3">
      <c r="A88" s="18" t="s">
        <v>86</v>
      </c>
      <c r="B88" s="18" t="s">
        <v>444</v>
      </c>
      <c r="C88" s="18"/>
      <c r="D88" s="18"/>
      <c r="E88" s="20">
        <f>SUMIF(Book!$G:$G,$B88,Book!J:J)</f>
        <v>1</v>
      </c>
      <c r="F88" s="20">
        <f>SUMIF(Book!$G:$G,$B88,Book!L:L)</f>
        <v>0</v>
      </c>
      <c r="G88" s="20">
        <f>SUMIF(Book!$G:$G,$B88,Book!M:M)</f>
        <v>0.09</v>
      </c>
      <c r="H88" s="20">
        <f>SUMIF(Book!$G:$G,$B88,Book!N:N)</f>
        <v>0.09</v>
      </c>
      <c r="I88" s="20">
        <f>SUMIF(Book!$G:$G,$B88,Book!O:O)</f>
        <v>0</v>
      </c>
      <c r="J88" s="18"/>
      <c r="K88" s="20">
        <f>SUMIF('GSTR-2B'!$G:$G,$B88,'GSTR-2B'!J:J)</f>
        <v>1</v>
      </c>
      <c r="L88" s="20">
        <f>SUMIF('GSTR-2B'!$G:$G,$B88,'GSTR-2B'!L:L)</f>
        <v>0</v>
      </c>
      <c r="M88" s="20">
        <f>SUMIF('GSTR-2B'!$G:$G,$B88,'GSTR-2B'!M:M)</f>
        <v>0.09</v>
      </c>
      <c r="N88" s="20">
        <f>SUMIF('GSTR-2B'!$G:$G,$B88,'GSTR-2B'!N:N)</f>
        <v>0.09</v>
      </c>
      <c r="O88" s="20">
        <f>SUMIF('GSTR-2B'!$G:$G,$B88,'GSTR-2B'!O:O)</f>
        <v>0</v>
      </c>
      <c r="P88" s="20"/>
      <c r="Q88" s="20">
        <f t="shared" si="8"/>
        <v>0</v>
      </c>
      <c r="R88" s="20">
        <f t="shared" si="9"/>
        <v>0</v>
      </c>
      <c r="S88" s="20">
        <f t="shared" si="10"/>
        <v>0</v>
      </c>
      <c r="T88" s="20">
        <f t="shared" si="11"/>
        <v>0</v>
      </c>
      <c r="U88" s="20">
        <f>SUMIF('GSTR-2B'!$G:$G,$B88,'GSTR-2B'!U:U)</f>
        <v>0</v>
      </c>
      <c r="V88" s="21"/>
      <c r="W88" s="22" t="str">
        <f>VLOOKUP(A88,'GST Wise Reco'!$A$3:$T$34,20,0)</f>
        <v>Book And 2B Match</v>
      </c>
      <c r="X88" t="s">
        <v>29</v>
      </c>
      <c r="Y88" t="s">
        <v>29</v>
      </c>
    </row>
    <row r="89" spans="1:25" x14ac:dyDescent="0.3">
      <c r="A89" s="18" t="s">
        <v>83</v>
      </c>
      <c r="B89" s="18" t="s">
        <v>430</v>
      </c>
      <c r="C89" s="18"/>
      <c r="D89" s="18"/>
      <c r="E89" s="20">
        <f>SUMIF(Book!$G:$G,$B89,Book!J:J)</f>
        <v>8333</v>
      </c>
      <c r="F89" s="20">
        <f>SUMIF(Book!$G:$G,$B89,Book!L:L)</f>
        <v>0</v>
      </c>
      <c r="G89" s="20">
        <f>SUMIF(Book!$G:$G,$B89,Book!M:M)</f>
        <v>749.97</v>
      </c>
      <c r="H89" s="20">
        <f>SUMIF(Book!$G:$G,$B89,Book!N:N)</f>
        <v>749.97</v>
      </c>
      <c r="I89" s="20">
        <f>SUMIF(Book!$G:$G,$B89,Book!O:O)</f>
        <v>0</v>
      </c>
      <c r="J89" s="18"/>
      <c r="K89" s="20">
        <f>SUMIF('GSTR-2B'!$G:$G,$B89,'GSTR-2B'!J:J)</f>
        <v>0</v>
      </c>
      <c r="L89" s="20">
        <f>SUMIF('GSTR-2B'!$G:$G,$B89,'GSTR-2B'!L:L)</f>
        <v>0</v>
      </c>
      <c r="M89" s="20">
        <f>SUMIF('GSTR-2B'!$G:$G,$B89,'GSTR-2B'!M:M)</f>
        <v>0</v>
      </c>
      <c r="N89" s="20">
        <f>SUMIF('GSTR-2B'!$G:$G,$B89,'GSTR-2B'!N:N)</f>
        <v>0</v>
      </c>
      <c r="O89" s="20">
        <f>SUMIF('GSTR-2B'!$G:$G,$B89,'GSTR-2B'!O:O)</f>
        <v>0</v>
      </c>
      <c r="P89" s="20"/>
      <c r="Q89" s="20">
        <f t="shared" si="8"/>
        <v>8333</v>
      </c>
      <c r="R89" s="20">
        <f t="shared" si="9"/>
        <v>0</v>
      </c>
      <c r="S89" s="20">
        <f t="shared" si="10"/>
        <v>749.97</v>
      </c>
      <c r="T89" s="20">
        <f t="shared" si="11"/>
        <v>749.97</v>
      </c>
      <c r="U89" s="20">
        <f>SUMIF('GSTR-2B'!$G:$G,$B89,'GSTR-2B'!U:U)</f>
        <v>0</v>
      </c>
      <c r="V89" s="21"/>
      <c r="W89" s="22" t="str">
        <f>VLOOKUP(A89,'GST Wise Reco'!$A$3:$T$34,20,0)</f>
        <v>Book And 2B Match</v>
      </c>
      <c r="X89" t="s">
        <v>482</v>
      </c>
      <c r="Y89" t="s">
        <v>29</v>
      </c>
    </row>
    <row r="90" spans="1:25" x14ac:dyDescent="0.3">
      <c r="A90" s="18" t="s">
        <v>83</v>
      </c>
      <c r="B90" s="18" t="s">
        <v>460</v>
      </c>
      <c r="C90" s="18"/>
      <c r="D90" s="18"/>
      <c r="E90" s="20">
        <f>SUMIF(Book!$G:$G,$B90,Book!J:J)</f>
        <v>0</v>
      </c>
      <c r="F90" s="20">
        <f>SUMIF(Book!$G:$G,$B90,Book!L:L)</f>
        <v>0</v>
      </c>
      <c r="G90" s="20">
        <f>SUMIF(Book!$G:$G,$B90,Book!M:M)</f>
        <v>0</v>
      </c>
      <c r="H90" s="20">
        <f>SUMIF(Book!$G:$G,$B90,Book!N:N)</f>
        <v>0</v>
      </c>
      <c r="I90" s="20">
        <f>SUMIF(Book!$G:$G,$B90,Book!O:O)</f>
        <v>0</v>
      </c>
      <c r="J90" s="18"/>
      <c r="K90" s="20">
        <f>SUMIF('GSTR-2B'!$G:$G,$B90,'GSTR-2B'!J:J)</f>
        <v>8333</v>
      </c>
      <c r="L90" s="20">
        <f>SUMIF('GSTR-2B'!$G:$G,$B90,'GSTR-2B'!L:L)</f>
        <v>0</v>
      </c>
      <c r="M90" s="20">
        <f>SUMIF('GSTR-2B'!$G:$G,$B90,'GSTR-2B'!M:M)</f>
        <v>749.97</v>
      </c>
      <c r="N90" s="20">
        <f>SUMIF('GSTR-2B'!$G:$G,$B90,'GSTR-2B'!N:N)</f>
        <v>749.97</v>
      </c>
      <c r="O90" s="20">
        <f>SUMIF('GSTR-2B'!$G:$G,$B90,'GSTR-2B'!O:O)</f>
        <v>0</v>
      </c>
      <c r="P90" s="20"/>
      <c r="Q90" s="20">
        <f t="shared" si="8"/>
        <v>-8333</v>
      </c>
      <c r="R90" s="20">
        <f t="shared" si="9"/>
        <v>0</v>
      </c>
      <c r="S90" s="20">
        <f t="shared" si="10"/>
        <v>-749.97</v>
      </c>
      <c r="T90" s="20">
        <f t="shared" si="11"/>
        <v>-749.97</v>
      </c>
      <c r="U90" s="20">
        <f>SUMIF('GSTR-2B'!$G:$G,$B90,'GSTR-2B'!U:U)</f>
        <v>0</v>
      </c>
      <c r="V90" s="21"/>
      <c r="W90" s="22" t="str">
        <f>VLOOKUP(A90,'GST Wise Reco'!$A$3:$T$34,20,0)</f>
        <v>Book And 2B Match</v>
      </c>
      <c r="X90" t="s">
        <v>482</v>
      </c>
      <c r="Y90" t="s">
        <v>29</v>
      </c>
    </row>
    <row r="91" spans="1:25" x14ac:dyDescent="0.3">
      <c r="A91" s="18" t="s">
        <v>81</v>
      </c>
      <c r="B91" s="18" t="s">
        <v>422</v>
      </c>
      <c r="C91" s="18"/>
      <c r="D91" s="18"/>
      <c r="E91" s="20">
        <f>SUMIF(Book!$G:$G,$B91,Book!J:J)</f>
        <v>8100</v>
      </c>
      <c r="F91" s="20">
        <f>SUMIF(Book!$G:$G,$B91,Book!L:L)</f>
        <v>0</v>
      </c>
      <c r="G91" s="20">
        <f>SUMIF(Book!$G:$G,$B91,Book!M:M)</f>
        <v>729</v>
      </c>
      <c r="H91" s="20">
        <f>SUMIF(Book!$G:$G,$B91,Book!N:N)</f>
        <v>729</v>
      </c>
      <c r="I91" s="20">
        <f>SUMIF(Book!$G:$G,$B91,Book!O:O)</f>
        <v>0</v>
      </c>
      <c r="J91" s="18"/>
      <c r="K91" s="20">
        <f>SUMIF('GSTR-2B'!$G:$G,$B91,'GSTR-2B'!J:J)</f>
        <v>0</v>
      </c>
      <c r="L91" s="20">
        <f>SUMIF('GSTR-2B'!$G:$G,$B91,'GSTR-2B'!L:L)</f>
        <v>0</v>
      </c>
      <c r="M91" s="20">
        <f>SUMIF('GSTR-2B'!$G:$G,$B91,'GSTR-2B'!M:M)</f>
        <v>0</v>
      </c>
      <c r="N91" s="20">
        <f>SUMIF('GSTR-2B'!$G:$G,$B91,'GSTR-2B'!N:N)</f>
        <v>0</v>
      </c>
      <c r="O91" s="20">
        <f>SUMIF('GSTR-2B'!$G:$G,$B91,'GSTR-2B'!O:O)</f>
        <v>0</v>
      </c>
      <c r="P91" s="20"/>
      <c r="Q91" s="20">
        <f t="shared" si="8"/>
        <v>8100</v>
      </c>
      <c r="R91" s="20">
        <f t="shared" si="9"/>
        <v>0</v>
      </c>
      <c r="S91" s="20">
        <f t="shared" si="10"/>
        <v>729</v>
      </c>
      <c r="T91" s="20">
        <f t="shared" si="11"/>
        <v>729</v>
      </c>
      <c r="U91" s="20">
        <f>SUMIF('GSTR-2B'!$G:$G,$B91,'GSTR-2B'!U:U)</f>
        <v>0</v>
      </c>
      <c r="V91" s="21"/>
      <c r="W91" s="22" t="str">
        <f>VLOOKUP(A91,'GST Wise Reco'!$A$3:$T$34,20,0)</f>
        <v>Book And 2B Match</v>
      </c>
      <c r="X91" t="s">
        <v>482</v>
      </c>
      <c r="Y91" t="s">
        <v>482</v>
      </c>
    </row>
    <row r="92" spans="1:25" x14ac:dyDescent="0.3">
      <c r="A92" s="18" t="s">
        <v>81</v>
      </c>
      <c r="B92" s="18" t="s">
        <v>472</v>
      </c>
      <c r="C92" s="18"/>
      <c r="D92" s="18"/>
      <c r="E92" s="20">
        <f>SUMIF(Book!$G:$G,$B92,Book!J:J)</f>
        <v>0</v>
      </c>
      <c r="F92" s="20">
        <f>SUMIF(Book!$G:$G,$B92,Book!L:L)</f>
        <v>0</v>
      </c>
      <c r="G92" s="20">
        <f>SUMIF(Book!$G:$G,$B92,Book!M:M)</f>
        <v>0</v>
      </c>
      <c r="H92" s="20">
        <f>SUMIF(Book!$G:$G,$B92,Book!N:N)</f>
        <v>0</v>
      </c>
      <c r="I92" s="20">
        <f>SUMIF(Book!$G:$G,$B92,Book!O:O)</f>
        <v>0</v>
      </c>
      <c r="J92" s="18"/>
      <c r="K92" s="20">
        <f>SUMIF('GSTR-2B'!$G:$G,$B92,'GSTR-2B'!J:J)</f>
        <v>8100</v>
      </c>
      <c r="L92" s="20">
        <f>SUMIF('GSTR-2B'!$G:$G,$B92,'GSTR-2B'!L:L)</f>
        <v>0</v>
      </c>
      <c r="M92" s="20">
        <f>SUMIF('GSTR-2B'!$G:$G,$B92,'GSTR-2B'!M:M)</f>
        <v>729</v>
      </c>
      <c r="N92" s="20">
        <f>SUMIF('GSTR-2B'!$G:$G,$B92,'GSTR-2B'!N:N)</f>
        <v>729</v>
      </c>
      <c r="O92" s="20">
        <f>SUMIF('GSTR-2B'!$G:$G,$B92,'GSTR-2B'!O:O)</f>
        <v>0</v>
      </c>
      <c r="P92" s="20"/>
      <c r="Q92" s="20">
        <f t="shared" si="8"/>
        <v>-8100</v>
      </c>
      <c r="R92" s="20">
        <f t="shared" si="9"/>
        <v>0</v>
      </c>
      <c r="S92" s="20">
        <f t="shared" si="10"/>
        <v>-729</v>
      </c>
      <c r="T92" s="20">
        <f t="shared" si="11"/>
        <v>-729</v>
      </c>
      <c r="U92" s="20">
        <f>SUMIF('GSTR-2B'!$G:$G,$B92,'GSTR-2B'!U:U)</f>
        <v>0</v>
      </c>
      <c r="V92" s="21"/>
      <c r="W92" s="22" t="str">
        <f>VLOOKUP(A92,'GST Wise Reco'!$A$3:$T$34,20,0)</f>
        <v>Book And 2B Match</v>
      </c>
      <c r="X92" t="s">
        <v>482</v>
      </c>
      <c r="Y92" t="s">
        <v>482</v>
      </c>
    </row>
    <row r="93" spans="1:25" x14ac:dyDescent="0.3">
      <c r="A93" s="18" t="s">
        <v>85</v>
      </c>
      <c r="B93" s="18" t="s">
        <v>438</v>
      </c>
      <c r="C93" s="18"/>
      <c r="D93" s="18"/>
      <c r="E93" s="20">
        <f>SUMIF(Book!$G:$G,$B93,Book!J:J)</f>
        <v>8650</v>
      </c>
      <c r="F93" s="20">
        <f>SUMIF(Book!$G:$G,$B93,Book!L:L)</f>
        <v>0</v>
      </c>
      <c r="G93" s="20">
        <f>SUMIF(Book!$G:$G,$B93,Book!M:M)</f>
        <v>778.5</v>
      </c>
      <c r="H93" s="20">
        <f>SUMIF(Book!$G:$G,$B93,Book!N:N)</f>
        <v>778.5</v>
      </c>
      <c r="I93" s="20">
        <f>SUMIF(Book!$G:$G,$B93,Book!O:O)</f>
        <v>0</v>
      </c>
      <c r="J93" s="18"/>
      <c r="K93" s="20">
        <f>SUMIF('GSTR-2B'!$G:$G,$B93,'GSTR-2B'!J:J)</f>
        <v>8650</v>
      </c>
      <c r="L93" s="20">
        <f>SUMIF('GSTR-2B'!$G:$G,$B93,'GSTR-2B'!L:L)</f>
        <v>0</v>
      </c>
      <c r="M93" s="20">
        <f>SUMIF('GSTR-2B'!$G:$G,$B93,'GSTR-2B'!M:M)</f>
        <v>778.5</v>
      </c>
      <c r="N93" s="20">
        <f>SUMIF('GSTR-2B'!$G:$G,$B93,'GSTR-2B'!N:N)</f>
        <v>778.5</v>
      </c>
      <c r="O93" s="20">
        <f>SUMIF('GSTR-2B'!$G:$G,$B93,'GSTR-2B'!O:O)</f>
        <v>0</v>
      </c>
      <c r="P93" s="20"/>
      <c r="Q93" s="20">
        <f t="shared" si="8"/>
        <v>0</v>
      </c>
      <c r="R93" s="20">
        <f t="shared" si="9"/>
        <v>0</v>
      </c>
      <c r="S93" s="20">
        <f t="shared" si="10"/>
        <v>0</v>
      </c>
      <c r="T93" s="20">
        <f t="shared" si="11"/>
        <v>0</v>
      </c>
      <c r="U93" s="20">
        <f>SUMIF('GSTR-2B'!$G:$G,$B93,'GSTR-2B'!U:U)</f>
        <v>0</v>
      </c>
      <c r="V93" s="21"/>
      <c r="W93" s="22" t="str">
        <f>VLOOKUP(A93,'GST Wise Reco'!$A$3:$T$34,20,0)</f>
        <v>Book And 2B Match</v>
      </c>
      <c r="X93" t="s">
        <v>29</v>
      </c>
      <c r="Y93" t="s">
        <v>29</v>
      </c>
    </row>
    <row r="94" spans="1:25" x14ac:dyDescent="0.3">
      <c r="A94" s="18" t="s">
        <v>69</v>
      </c>
      <c r="B94" s="18" t="s">
        <v>308</v>
      </c>
      <c r="C94" s="18"/>
      <c r="D94" s="18"/>
      <c r="E94" s="20">
        <f>SUMIF(Book!$G:$G,$B94,Book!J:J)</f>
        <v>3248519.6</v>
      </c>
      <c r="F94" s="20">
        <f>SUMIF(Book!$G:$G,$B94,Book!L:L)</f>
        <v>0</v>
      </c>
      <c r="G94" s="20">
        <f>SUMIF(Book!$G:$G,$B94,Book!M:M)</f>
        <v>292366.77</v>
      </c>
      <c r="H94" s="20">
        <f>SUMIF(Book!$G:$G,$B94,Book!N:N)</f>
        <v>292366.77</v>
      </c>
      <c r="I94" s="20">
        <f>SUMIF(Book!$G:$G,$B94,Book!O:O)</f>
        <v>0</v>
      </c>
      <c r="J94" s="18"/>
      <c r="K94" s="20">
        <f>SUMIF('GSTR-2B'!$G:$G,$B94,'GSTR-2B'!J:J)</f>
        <v>3248519.6</v>
      </c>
      <c r="L94" s="20">
        <f>SUMIF('GSTR-2B'!$G:$G,$B94,'GSTR-2B'!L:L)</f>
        <v>0</v>
      </c>
      <c r="M94" s="20">
        <f>SUMIF('GSTR-2B'!$G:$G,$B94,'GSTR-2B'!M:M)</f>
        <v>292366.77</v>
      </c>
      <c r="N94" s="20">
        <f>SUMIF('GSTR-2B'!$G:$G,$B94,'GSTR-2B'!N:N)</f>
        <v>292366.77</v>
      </c>
      <c r="O94" s="20">
        <f>SUMIF('GSTR-2B'!$G:$G,$B94,'GSTR-2B'!O:O)</f>
        <v>0</v>
      </c>
      <c r="P94" s="20"/>
      <c r="Q94" s="20">
        <f t="shared" si="8"/>
        <v>0</v>
      </c>
      <c r="R94" s="20">
        <f t="shared" si="9"/>
        <v>0</v>
      </c>
      <c r="S94" s="20">
        <f t="shared" si="10"/>
        <v>0</v>
      </c>
      <c r="T94" s="20">
        <f t="shared" si="11"/>
        <v>0</v>
      </c>
      <c r="U94" s="20">
        <f>SUMIF('GSTR-2B'!$G:$G,$B94,'GSTR-2B'!U:U)</f>
        <v>0</v>
      </c>
      <c r="V94" s="21"/>
      <c r="W94" s="22" t="str">
        <f>VLOOKUP(A94,'GST Wise Reco'!$A$3:$T$34,20,0)</f>
        <v>Book And 2B Match</v>
      </c>
      <c r="X94" t="s">
        <v>29</v>
      </c>
      <c r="Y94" t="s">
        <v>29</v>
      </c>
    </row>
    <row r="95" spans="1:25" x14ac:dyDescent="0.3">
      <c r="A95" s="18" t="s">
        <v>69</v>
      </c>
      <c r="B95" s="18" t="s">
        <v>316</v>
      </c>
      <c r="C95" s="18"/>
      <c r="D95" s="18"/>
      <c r="E95" s="20">
        <f>SUMIF(Book!$G:$G,$B95,Book!J:J)</f>
        <v>2091888.47</v>
      </c>
      <c r="F95" s="20">
        <f>SUMIF(Book!$G:$G,$B95,Book!L:L)</f>
        <v>0</v>
      </c>
      <c r="G95" s="20">
        <f>SUMIF(Book!$G:$G,$B95,Book!M:M)</f>
        <v>188269.96</v>
      </c>
      <c r="H95" s="20">
        <f>SUMIF(Book!$G:$G,$B95,Book!N:N)</f>
        <v>188269.96</v>
      </c>
      <c r="I95" s="20">
        <f>SUMIF(Book!$G:$G,$B95,Book!O:O)</f>
        <v>0</v>
      </c>
      <c r="J95" s="18"/>
      <c r="K95" s="20">
        <f>SUMIF('GSTR-2B'!$G:$G,$B95,'GSTR-2B'!J:J)</f>
        <v>2091888.47</v>
      </c>
      <c r="L95" s="20">
        <f>SUMIF('GSTR-2B'!$G:$G,$B95,'GSTR-2B'!L:L)</f>
        <v>0</v>
      </c>
      <c r="M95" s="20">
        <f>SUMIF('GSTR-2B'!$G:$G,$B95,'GSTR-2B'!M:M)</f>
        <v>188269.96</v>
      </c>
      <c r="N95" s="20">
        <f>SUMIF('GSTR-2B'!$G:$G,$B95,'GSTR-2B'!N:N)</f>
        <v>188269.96</v>
      </c>
      <c r="O95" s="20">
        <f>SUMIF('GSTR-2B'!$G:$G,$B95,'GSTR-2B'!O:O)</f>
        <v>0</v>
      </c>
      <c r="P95" s="20"/>
      <c r="Q95" s="20">
        <f t="shared" si="8"/>
        <v>0</v>
      </c>
      <c r="R95" s="20">
        <f t="shared" si="9"/>
        <v>0</v>
      </c>
      <c r="S95" s="20">
        <f t="shared" si="10"/>
        <v>0</v>
      </c>
      <c r="T95" s="20">
        <f t="shared" si="11"/>
        <v>0</v>
      </c>
      <c r="U95" s="20">
        <f>SUMIF('GSTR-2B'!$G:$G,$B95,'GSTR-2B'!U:U)</f>
        <v>0</v>
      </c>
      <c r="V95" s="21"/>
      <c r="W95" s="22" t="str">
        <f>VLOOKUP(A95,'GST Wise Reco'!$A$3:$T$34,20,0)</f>
        <v>Book And 2B Match</v>
      </c>
      <c r="X95" t="s">
        <v>29</v>
      </c>
      <c r="Y95" t="s">
        <v>29</v>
      </c>
    </row>
    <row r="96" spans="1:25" x14ac:dyDescent="0.3">
      <c r="A96" s="18" t="s">
        <v>69</v>
      </c>
      <c r="B96" s="18" t="s">
        <v>331</v>
      </c>
      <c r="C96" s="18"/>
      <c r="D96" s="18"/>
      <c r="E96" s="20">
        <f>SUMIF(Book!$G:$G,$B96,Book!J:J)</f>
        <v>353.89</v>
      </c>
      <c r="F96" s="20">
        <f>SUMIF(Book!$G:$G,$B96,Book!L:L)</f>
        <v>0</v>
      </c>
      <c r="G96" s="20">
        <f>SUMIF(Book!$G:$G,$B96,Book!M:M)</f>
        <v>31.85</v>
      </c>
      <c r="H96" s="20">
        <f>SUMIF(Book!$G:$G,$B96,Book!N:N)</f>
        <v>31.85</v>
      </c>
      <c r="I96" s="20">
        <f>SUMIF(Book!$G:$G,$B96,Book!O:O)</f>
        <v>0</v>
      </c>
      <c r="J96" s="18"/>
      <c r="K96" s="20">
        <f>SUMIF('GSTR-2B'!$G:$G,$B96,'GSTR-2B'!J:J)</f>
        <v>353.89</v>
      </c>
      <c r="L96" s="20">
        <f>SUMIF('GSTR-2B'!$G:$G,$B96,'GSTR-2B'!L:L)</f>
        <v>0</v>
      </c>
      <c r="M96" s="20">
        <f>SUMIF('GSTR-2B'!$G:$G,$B96,'GSTR-2B'!M:M)</f>
        <v>31.85</v>
      </c>
      <c r="N96" s="20">
        <f>SUMIF('GSTR-2B'!$G:$G,$B96,'GSTR-2B'!N:N)</f>
        <v>31.85</v>
      </c>
      <c r="O96" s="20">
        <f>SUMIF('GSTR-2B'!$G:$G,$B96,'GSTR-2B'!O:O)</f>
        <v>0</v>
      </c>
      <c r="P96" s="20"/>
      <c r="Q96" s="20">
        <f t="shared" si="8"/>
        <v>0</v>
      </c>
      <c r="R96" s="20">
        <f t="shared" si="9"/>
        <v>0</v>
      </c>
      <c r="S96" s="20">
        <f t="shared" si="10"/>
        <v>0</v>
      </c>
      <c r="T96" s="20">
        <f t="shared" si="11"/>
        <v>0</v>
      </c>
      <c r="U96" s="20">
        <f>SUMIF('GSTR-2B'!$G:$G,$B96,'GSTR-2B'!U:U)</f>
        <v>0</v>
      </c>
      <c r="V96" s="21"/>
      <c r="W96" s="22" t="str">
        <f>VLOOKUP(A96,'GST Wise Reco'!$A$3:$T$34,20,0)</f>
        <v>Book And 2B Match</v>
      </c>
      <c r="X96" t="s">
        <v>29</v>
      </c>
      <c r="Y96" t="s">
        <v>29</v>
      </c>
    </row>
    <row r="97" spans="1:25" x14ac:dyDescent="0.3">
      <c r="A97" s="18" t="s">
        <v>69</v>
      </c>
      <c r="B97" s="18" t="s">
        <v>339</v>
      </c>
      <c r="C97" s="18"/>
      <c r="D97" s="18"/>
      <c r="E97" s="20">
        <f>SUMIF(Book!$G:$G,$B97,Book!J:J)</f>
        <v>440.59</v>
      </c>
      <c r="F97" s="20">
        <f>SUMIF(Book!$G:$G,$B97,Book!L:L)</f>
        <v>0</v>
      </c>
      <c r="G97" s="20">
        <f>SUMIF(Book!$G:$G,$B97,Book!M:M)</f>
        <v>39.65</v>
      </c>
      <c r="H97" s="20">
        <f>SUMIF(Book!$G:$G,$B97,Book!N:N)</f>
        <v>39.65</v>
      </c>
      <c r="I97" s="20">
        <f>SUMIF(Book!$G:$G,$B97,Book!O:O)</f>
        <v>0</v>
      </c>
      <c r="J97" s="18"/>
      <c r="K97" s="20">
        <f>SUMIF('GSTR-2B'!$G:$G,$B97,'GSTR-2B'!J:J)</f>
        <v>440.59</v>
      </c>
      <c r="L97" s="20">
        <f>SUMIF('GSTR-2B'!$G:$G,$B97,'GSTR-2B'!L:L)</f>
        <v>0</v>
      </c>
      <c r="M97" s="20">
        <f>SUMIF('GSTR-2B'!$G:$G,$B97,'GSTR-2B'!M:M)</f>
        <v>39.65</v>
      </c>
      <c r="N97" s="20">
        <f>SUMIF('GSTR-2B'!$G:$G,$B97,'GSTR-2B'!N:N)</f>
        <v>39.65</v>
      </c>
      <c r="O97" s="20">
        <f>SUMIF('GSTR-2B'!$G:$G,$B97,'GSTR-2B'!O:O)</f>
        <v>0</v>
      </c>
      <c r="P97" s="20"/>
      <c r="Q97" s="20">
        <f t="shared" si="8"/>
        <v>0</v>
      </c>
      <c r="R97" s="20">
        <f t="shared" si="9"/>
        <v>0</v>
      </c>
      <c r="S97" s="20">
        <f t="shared" si="10"/>
        <v>0</v>
      </c>
      <c r="T97" s="20">
        <f t="shared" si="11"/>
        <v>0</v>
      </c>
      <c r="U97" s="20">
        <f>SUMIF('GSTR-2B'!$G:$G,$B97,'GSTR-2B'!U:U)</f>
        <v>0</v>
      </c>
      <c r="V97" s="21"/>
      <c r="W97" s="22" t="str">
        <f>VLOOKUP(A97,'GST Wise Reco'!$A$3:$T$34,20,0)</f>
        <v>Book And 2B Match</v>
      </c>
      <c r="X97" t="s">
        <v>29</v>
      </c>
      <c r="Y97" t="s">
        <v>29</v>
      </c>
    </row>
    <row r="98" spans="1:25" x14ac:dyDescent="0.3">
      <c r="A98" s="18" t="s">
        <v>69</v>
      </c>
      <c r="B98" s="18" t="s">
        <v>344</v>
      </c>
      <c r="C98" s="18"/>
      <c r="D98" s="18"/>
      <c r="E98" s="20">
        <f>SUMIF(Book!$G:$G,$B98,Book!J:J)</f>
        <v>543.04</v>
      </c>
      <c r="F98" s="20">
        <f>SUMIF(Book!$G:$G,$B98,Book!L:L)</f>
        <v>0</v>
      </c>
      <c r="G98" s="20">
        <f>SUMIF(Book!$G:$G,$B98,Book!M:M)</f>
        <v>48.87</v>
      </c>
      <c r="H98" s="20">
        <f>SUMIF(Book!$G:$G,$B98,Book!N:N)</f>
        <v>48.87</v>
      </c>
      <c r="I98" s="20">
        <f>SUMIF(Book!$G:$G,$B98,Book!O:O)</f>
        <v>0</v>
      </c>
      <c r="J98" s="18"/>
      <c r="K98" s="20">
        <f>SUMIF('GSTR-2B'!$G:$G,$B98,'GSTR-2B'!J:J)</f>
        <v>543.04</v>
      </c>
      <c r="L98" s="20">
        <f>SUMIF('GSTR-2B'!$G:$G,$B98,'GSTR-2B'!L:L)</f>
        <v>0</v>
      </c>
      <c r="M98" s="20">
        <f>SUMIF('GSTR-2B'!$G:$G,$B98,'GSTR-2B'!M:M)</f>
        <v>48.87</v>
      </c>
      <c r="N98" s="20">
        <f>SUMIF('GSTR-2B'!$G:$G,$B98,'GSTR-2B'!N:N)</f>
        <v>48.87</v>
      </c>
      <c r="O98" s="20">
        <f>SUMIF('GSTR-2B'!$G:$G,$B98,'GSTR-2B'!O:O)</f>
        <v>0</v>
      </c>
      <c r="P98" s="20"/>
      <c r="Q98" s="20">
        <f t="shared" si="8"/>
        <v>0</v>
      </c>
      <c r="R98" s="20">
        <f t="shared" si="9"/>
        <v>0</v>
      </c>
      <c r="S98" s="20">
        <f t="shared" si="10"/>
        <v>0</v>
      </c>
      <c r="T98" s="20">
        <f t="shared" si="11"/>
        <v>0</v>
      </c>
      <c r="U98" s="20">
        <f>SUMIF('GSTR-2B'!$G:$G,$B98,'GSTR-2B'!U:U)</f>
        <v>0</v>
      </c>
      <c r="V98" s="21"/>
      <c r="W98" s="22" t="str">
        <f>VLOOKUP(A98,'GST Wise Reco'!$A$3:$T$34,20,0)</f>
        <v>Book And 2B Match</v>
      </c>
      <c r="X98" t="s">
        <v>29</v>
      </c>
      <c r="Y98" t="s">
        <v>29</v>
      </c>
    </row>
    <row r="99" spans="1:25" x14ac:dyDescent="0.3">
      <c r="A99" s="18" t="s">
        <v>69</v>
      </c>
      <c r="B99" s="18" t="s">
        <v>354</v>
      </c>
      <c r="C99" s="18"/>
      <c r="D99" s="18"/>
      <c r="E99" s="20">
        <f>SUMIF(Book!$G:$G,$B99,Book!J:J)</f>
        <v>900171.39</v>
      </c>
      <c r="F99" s="20">
        <f>SUMIF(Book!$G:$G,$B99,Book!L:L)</f>
        <v>0</v>
      </c>
      <c r="G99" s="20">
        <f>SUMIF(Book!$G:$G,$B99,Book!M:M)</f>
        <v>81015.429999999993</v>
      </c>
      <c r="H99" s="20">
        <f>SUMIF(Book!$G:$G,$B99,Book!N:N)</f>
        <v>81015.429999999993</v>
      </c>
      <c r="I99" s="20">
        <f>SUMIF(Book!$G:$G,$B99,Book!O:O)</f>
        <v>0</v>
      </c>
      <c r="J99" s="18"/>
      <c r="K99" s="20">
        <f>SUMIF('GSTR-2B'!$G:$G,$B99,'GSTR-2B'!J:J)</f>
        <v>900171.39</v>
      </c>
      <c r="L99" s="20">
        <f>SUMIF('GSTR-2B'!$G:$G,$B99,'GSTR-2B'!L:L)</f>
        <v>0</v>
      </c>
      <c r="M99" s="20">
        <f>SUMIF('GSTR-2B'!$G:$G,$B99,'GSTR-2B'!M:M)</f>
        <v>81015.429999999993</v>
      </c>
      <c r="N99" s="20">
        <f>SUMIF('GSTR-2B'!$G:$G,$B99,'GSTR-2B'!N:N)</f>
        <v>81015.429999999993</v>
      </c>
      <c r="O99" s="20">
        <f>SUMIF('GSTR-2B'!$G:$G,$B99,'GSTR-2B'!O:O)</f>
        <v>0</v>
      </c>
      <c r="P99" s="20"/>
      <c r="Q99" s="20">
        <f t="shared" si="8"/>
        <v>0</v>
      </c>
      <c r="R99" s="20">
        <f t="shared" si="9"/>
        <v>0</v>
      </c>
      <c r="S99" s="20">
        <f t="shared" si="10"/>
        <v>0</v>
      </c>
      <c r="T99" s="20">
        <f t="shared" si="11"/>
        <v>0</v>
      </c>
      <c r="U99" s="20">
        <f>SUMIF('GSTR-2B'!$G:$G,$B99,'GSTR-2B'!U:U)</f>
        <v>0</v>
      </c>
      <c r="V99" s="21"/>
      <c r="W99" s="22" t="str">
        <f>VLOOKUP(A99,'GST Wise Reco'!$A$3:$T$34,20,0)</f>
        <v>Book And 2B Match</v>
      </c>
      <c r="X99" t="s">
        <v>29</v>
      </c>
      <c r="Y99" t="s">
        <v>29</v>
      </c>
    </row>
    <row r="100" spans="1:25" x14ac:dyDescent="0.3">
      <c r="A100" s="18" t="s">
        <v>66</v>
      </c>
      <c r="B100" s="18" t="s">
        <v>305</v>
      </c>
      <c r="C100" s="18"/>
      <c r="D100" s="18"/>
      <c r="E100" s="20">
        <f>SUMIF(Book!$G:$G,$B100,Book!J:J)</f>
        <v>10000</v>
      </c>
      <c r="F100" s="20">
        <f>SUMIF(Book!$G:$G,$B100,Book!L:L)</f>
        <v>0</v>
      </c>
      <c r="G100" s="20">
        <f>SUMIF(Book!$G:$G,$B100,Book!M:M)</f>
        <v>900</v>
      </c>
      <c r="H100" s="20">
        <f>SUMIF(Book!$G:$G,$B100,Book!N:N)</f>
        <v>900</v>
      </c>
      <c r="I100" s="20">
        <f>SUMIF(Book!$G:$G,$B100,Book!O:O)</f>
        <v>0</v>
      </c>
      <c r="J100" s="18"/>
      <c r="K100" s="20">
        <f>SUMIF('GSTR-2B'!$G:$G,$B100,'GSTR-2B'!J:J)</f>
        <v>10000</v>
      </c>
      <c r="L100" s="20">
        <f>SUMIF('GSTR-2B'!$G:$G,$B100,'GSTR-2B'!L:L)</f>
        <v>0</v>
      </c>
      <c r="M100" s="20">
        <f>SUMIF('GSTR-2B'!$G:$G,$B100,'GSTR-2B'!M:M)</f>
        <v>900</v>
      </c>
      <c r="N100" s="20">
        <f>SUMIF('GSTR-2B'!$G:$G,$B100,'GSTR-2B'!N:N)</f>
        <v>900</v>
      </c>
      <c r="O100" s="20">
        <f>SUMIF('GSTR-2B'!$G:$G,$B100,'GSTR-2B'!O:O)</f>
        <v>0</v>
      </c>
      <c r="P100" s="20"/>
      <c r="Q100" s="20">
        <f t="shared" si="8"/>
        <v>0</v>
      </c>
      <c r="R100" s="20">
        <f t="shared" si="9"/>
        <v>0</v>
      </c>
      <c r="S100" s="20">
        <f t="shared" si="10"/>
        <v>0</v>
      </c>
      <c r="T100" s="20">
        <f t="shared" si="11"/>
        <v>0</v>
      </c>
      <c r="U100" s="20">
        <f>SUMIF('GSTR-2B'!$G:$G,$B100,'GSTR-2B'!U:U)</f>
        <v>0</v>
      </c>
      <c r="V100" s="21"/>
      <c r="W100" s="22" t="str">
        <f>VLOOKUP(A100,'GST Wise Reco'!$A$3:$T$34,20,0)</f>
        <v>Book And 2B Match</v>
      </c>
      <c r="X100" t="s">
        <v>29</v>
      </c>
      <c r="Y100" t="s">
        <v>29</v>
      </c>
    </row>
    <row r="101" spans="1:25" x14ac:dyDescent="0.3">
      <c r="A101" s="18" t="s">
        <v>66</v>
      </c>
      <c r="B101" s="18" t="s">
        <v>313</v>
      </c>
      <c r="C101" s="18"/>
      <c r="D101" s="18"/>
      <c r="E101" s="20">
        <f>SUMIF(Book!$G:$G,$B101,Book!J:J)</f>
        <v>10000</v>
      </c>
      <c r="F101" s="20">
        <f>SUMIF(Book!$G:$G,$B101,Book!L:L)</f>
        <v>0</v>
      </c>
      <c r="G101" s="20">
        <f>SUMIF(Book!$G:$G,$B101,Book!M:M)</f>
        <v>900</v>
      </c>
      <c r="H101" s="20">
        <f>SUMIF(Book!$G:$G,$B101,Book!N:N)</f>
        <v>900</v>
      </c>
      <c r="I101" s="20">
        <f>SUMIF(Book!$G:$G,$B101,Book!O:O)</f>
        <v>0</v>
      </c>
      <c r="J101" s="18"/>
      <c r="K101" s="20">
        <f>SUMIF('GSTR-2B'!$G:$G,$B101,'GSTR-2B'!J:J)</f>
        <v>10000</v>
      </c>
      <c r="L101" s="20">
        <f>SUMIF('GSTR-2B'!$G:$G,$B101,'GSTR-2B'!L:L)</f>
        <v>0</v>
      </c>
      <c r="M101" s="20">
        <f>SUMIF('GSTR-2B'!$G:$G,$B101,'GSTR-2B'!M:M)</f>
        <v>900</v>
      </c>
      <c r="N101" s="20">
        <f>SUMIF('GSTR-2B'!$G:$G,$B101,'GSTR-2B'!N:N)</f>
        <v>900</v>
      </c>
      <c r="O101" s="20">
        <f>SUMIF('GSTR-2B'!$G:$G,$B101,'GSTR-2B'!O:O)</f>
        <v>0</v>
      </c>
      <c r="P101" s="20"/>
      <c r="Q101" s="20">
        <f t="shared" ref="Q101:Q132" si="12">+E101-K101</f>
        <v>0</v>
      </c>
      <c r="R101" s="20">
        <f t="shared" ref="R101:R132" si="13">+F101-L101</f>
        <v>0</v>
      </c>
      <c r="S101" s="20">
        <f t="shared" ref="S101:S132" si="14">+G101-M101</f>
        <v>0</v>
      </c>
      <c r="T101" s="20">
        <f t="shared" ref="T101:T132" si="15">+H101-N101</f>
        <v>0</v>
      </c>
      <c r="U101" s="20">
        <f>SUMIF('GSTR-2B'!$G:$G,$B101,'GSTR-2B'!U:U)</f>
        <v>0</v>
      </c>
      <c r="V101" s="21"/>
      <c r="W101" s="22" t="str">
        <f>VLOOKUP(A101,'GST Wise Reco'!$A$3:$T$34,20,0)</f>
        <v>Book And 2B Match</v>
      </c>
      <c r="X101" t="s">
        <v>29</v>
      </c>
      <c r="Y101" t="s">
        <v>29</v>
      </c>
    </row>
    <row r="102" spans="1:25" x14ac:dyDescent="0.3">
      <c r="A102" s="18" t="s">
        <v>66</v>
      </c>
      <c r="B102" s="18" t="s">
        <v>323</v>
      </c>
      <c r="C102" s="18"/>
      <c r="D102" s="18"/>
      <c r="E102" s="20">
        <f>SUMIF(Book!$G:$G,$B102,Book!J:J)</f>
        <v>10000</v>
      </c>
      <c r="F102" s="20">
        <f>SUMIF(Book!$G:$G,$B102,Book!L:L)</f>
        <v>0</v>
      </c>
      <c r="G102" s="20">
        <f>SUMIF(Book!$G:$G,$B102,Book!M:M)</f>
        <v>900</v>
      </c>
      <c r="H102" s="20">
        <f>SUMIF(Book!$G:$G,$B102,Book!N:N)</f>
        <v>900</v>
      </c>
      <c r="I102" s="20">
        <f>SUMIF(Book!$G:$G,$B102,Book!O:O)</f>
        <v>0</v>
      </c>
      <c r="J102" s="18"/>
      <c r="K102" s="20">
        <f>SUMIF('GSTR-2B'!$G:$G,$B102,'GSTR-2B'!J:J)</f>
        <v>10000</v>
      </c>
      <c r="L102" s="20">
        <f>SUMIF('GSTR-2B'!$G:$G,$B102,'GSTR-2B'!L:L)</f>
        <v>0</v>
      </c>
      <c r="M102" s="20">
        <f>SUMIF('GSTR-2B'!$G:$G,$B102,'GSTR-2B'!M:M)</f>
        <v>900</v>
      </c>
      <c r="N102" s="20">
        <f>SUMIF('GSTR-2B'!$G:$G,$B102,'GSTR-2B'!N:N)</f>
        <v>900</v>
      </c>
      <c r="O102" s="20">
        <f>SUMIF('GSTR-2B'!$G:$G,$B102,'GSTR-2B'!O:O)</f>
        <v>0</v>
      </c>
      <c r="P102" s="20"/>
      <c r="Q102" s="20">
        <f t="shared" si="12"/>
        <v>0</v>
      </c>
      <c r="R102" s="20">
        <f t="shared" si="13"/>
        <v>0</v>
      </c>
      <c r="S102" s="20">
        <f t="shared" si="14"/>
        <v>0</v>
      </c>
      <c r="T102" s="20">
        <f t="shared" si="15"/>
        <v>0</v>
      </c>
      <c r="U102" s="20">
        <f>SUMIF('GSTR-2B'!$G:$G,$B102,'GSTR-2B'!U:U)</f>
        <v>0</v>
      </c>
      <c r="V102" s="21"/>
      <c r="W102" s="22" t="str">
        <f>VLOOKUP(A102,'GST Wise Reco'!$A$3:$T$34,20,0)</f>
        <v>Book And 2B Match</v>
      </c>
      <c r="X102" t="s">
        <v>29</v>
      </c>
      <c r="Y102" t="s">
        <v>29</v>
      </c>
    </row>
    <row r="103" spans="1:25" x14ac:dyDescent="0.3">
      <c r="A103" s="18" t="s">
        <v>66</v>
      </c>
      <c r="B103" s="18" t="s">
        <v>328</v>
      </c>
      <c r="C103" s="18"/>
      <c r="D103" s="18"/>
      <c r="E103" s="20">
        <f>SUMIF(Book!$G:$G,$B103,Book!J:J)</f>
        <v>10000</v>
      </c>
      <c r="F103" s="20">
        <f>SUMIF(Book!$G:$G,$B103,Book!L:L)</f>
        <v>0</v>
      </c>
      <c r="G103" s="20">
        <f>SUMIF(Book!$G:$G,$B103,Book!M:M)</f>
        <v>900</v>
      </c>
      <c r="H103" s="20">
        <f>SUMIF(Book!$G:$G,$B103,Book!N:N)</f>
        <v>900</v>
      </c>
      <c r="I103" s="20">
        <f>SUMIF(Book!$G:$G,$B103,Book!O:O)</f>
        <v>0</v>
      </c>
      <c r="J103" s="18"/>
      <c r="K103" s="20">
        <f>SUMIF('GSTR-2B'!$G:$G,$B103,'GSTR-2B'!J:J)</f>
        <v>10000</v>
      </c>
      <c r="L103" s="20">
        <f>SUMIF('GSTR-2B'!$G:$G,$B103,'GSTR-2B'!L:L)</f>
        <v>0</v>
      </c>
      <c r="M103" s="20">
        <f>SUMIF('GSTR-2B'!$G:$G,$B103,'GSTR-2B'!M:M)</f>
        <v>900</v>
      </c>
      <c r="N103" s="20">
        <f>SUMIF('GSTR-2B'!$G:$G,$B103,'GSTR-2B'!N:N)</f>
        <v>900</v>
      </c>
      <c r="O103" s="20">
        <f>SUMIF('GSTR-2B'!$G:$G,$B103,'GSTR-2B'!O:O)</f>
        <v>0</v>
      </c>
      <c r="P103" s="20"/>
      <c r="Q103" s="20">
        <f t="shared" si="12"/>
        <v>0</v>
      </c>
      <c r="R103" s="20">
        <f t="shared" si="13"/>
        <v>0</v>
      </c>
      <c r="S103" s="20">
        <f t="shared" si="14"/>
        <v>0</v>
      </c>
      <c r="T103" s="20">
        <f t="shared" si="15"/>
        <v>0</v>
      </c>
      <c r="U103" s="20">
        <f>SUMIF('GSTR-2B'!$G:$G,$B103,'GSTR-2B'!U:U)</f>
        <v>0</v>
      </c>
      <c r="V103" s="21"/>
      <c r="W103" s="22" t="str">
        <f>VLOOKUP(A103,'GST Wise Reco'!$A$3:$T$34,20,0)</f>
        <v>Book And 2B Match</v>
      </c>
      <c r="X103" t="s">
        <v>29</v>
      </c>
      <c r="Y103" t="s">
        <v>29</v>
      </c>
    </row>
    <row r="104" spans="1:25" x14ac:dyDescent="0.3">
      <c r="A104" s="18" t="s">
        <v>66</v>
      </c>
      <c r="B104" s="18" t="s">
        <v>338</v>
      </c>
      <c r="C104" s="18"/>
      <c r="D104" s="18"/>
      <c r="E104" s="20">
        <f>SUMIF(Book!$G:$G,$B104,Book!J:J)</f>
        <v>10000</v>
      </c>
      <c r="F104" s="20">
        <f>SUMIF(Book!$G:$G,$B104,Book!L:L)</f>
        <v>0</v>
      </c>
      <c r="G104" s="20">
        <f>SUMIF(Book!$G:$G,$B104,Book!M:M)</f>
        <v>900</v>
      </c>
      <c r="H104" s="20">
        <f>SUMIF(Book!$G:$G,$B104,Book!N:N)</f>
        <v>900</v>
      </c>
      <c r="I104" s="20">
        <f>SUMIF(Book!$G:$G,$B104,Book!O:O)</f>
        <v>0</v>
      </c>
      <c r="J104" s="18"/>
      <c r="K104" s="20">
        <f>SUMIF('GSTR-2B'!$G:$G,$B104,'GSTR-2B'!J:J)</f>
        <v>10000</v>
      </c>
      <c r="L104" s="20">
        <f>SUMIF('GSTR-2B'!$G:$G,$B104,'GSTR-2B'!L:L)</f>
        <v>0</v>
      </c>
      <c r="M104" s="20">
        <f>SUMIF('GSTR-2B'!$G:$G,$B104,'GSTR-2B'!M:M)</f>
        <v>900</v>
      </c>
      <c r="N104" s="20">
        <f>SUMIF('GSTR-2B'!$G:$G,$B104,'GSTR-2B'!N:N)</f>
        <v>900</v>
      </c>
      <c r="O104" s="20">
        <f>SUMIF('GSTR-2B'!$G:$G,$B104,'GSTR-2B'!O:O)</f>
        <v>0</v>
      </c>
      <c r="P104" s="20"/>
      <c r="Q104" s="20">
        <f t="shared" si="12"/>
        <v>0</v>
      </c>
      <c r="R104" s="20">
        <f t="shared" si="13"/>
        <v>0</v>
      </c>
      <c r="S104" s="20">
        <f t="shared" si="14"/>
        <v>0</v>
      </c>
      <c r="T104" s="20">
        <f t="shared" si="15"/>
        <v>0</v>
      </c>
      <c r="U104" s="20">
        <f>SUMIF('GSTR-2B'!$G:$G,$B104,'GSTR-2B'!U:U)</f>
        <v>0</v>
      </c>
      <c r="V104" s="21"/>
      <c r="W104" s="22" t="str">
        <f>VLOOKUP(A104,'GST Wise Reco'!$A$3:$T$34,20,0)</f>
        <v>Book And 2B Match</v>
      </c>
      <c r="X104" t="s">
        <v>29</v>
      </c>
      <c r="Y104" t="s">
        <v>29</v>
      </c>
    </row>
    <row r="105" spans="1:25" x14ac:dyDescent="0.3">
      <c r="A105" s="18" t="s">
        <v>66</v>
      </c>
      <c r="B105" s="18" t="s">
        <v>345</v>
      </c>
      <c r="C105" s="18"/>
      <c r="D105" s="18"/>
      <c r="E105" s="20">
        <f>SUMIF(Book!$G:$G,$B105,Book!J:J)</f>
        <v>10000</v>
      </c>
      <c r="F105" s="20">
        <f>SUMIF(Book!$G:$G,$B105,Book!L:L)</f>
        <v>0</v>
      </c>
      <c r="G105" s="20">
        <f>SUMIF(Book!$G:$G,$B105,Book!M:M)</f>
        <v>900</v>
      </c>
      <c r="H105" s="20">
        <f>SUMIF(Book!$G:$G,$B105,Book!N:N)</f>
        <v>900</v>
      </c>
      <c r="I105" s="20">
        <f>SUMIF(Book!$G:$G,$B105,Book!O:O)</f>
        <v>0</v>
      </c>
      <c r="J105" s="18"/>
      <c r="K105" s="20">
        <f>SUMIF('GSTR-2B'!$G:$G,$B105,'GSTR-2B'!J:J)</f>
        <v>10000</v>
      </c>
      <c r="L105" s="20">
        <f>SUMIF('GSTR-2B'!$G:$G,$B105,'GSTR-2B'!L:L)</f>
        <v>0</v>
      </c>
      <c r="M105" s="20">
        <f>SUMIF('GSTR-2B'!$G:$G,$B105,'GSTR-2B'!M:M)</f>
        <v>900</v>
      </c>
      <c r="N105" s="20">
        <f>SUMIF('GSTR-2B'!$G:$G,$B105,'GSTR-2B'!N:N)</f>
        <v>900</v>
      </c>
      <c r="O105" s="20">
        <f>SUMIF('GSTR-2B'!$G:$G,$B105,'GSTR-2B'!O:O)</f>
        <v>0</v>
      </c>
      <c r="P105" s="20"/>
      <c r="Q105" s="20">
        <f t="shared" si="12"/>
        <v>0</v>
      </c>
      <c r="R105" s="20">
        <f t="shared" si="13"/>
        <v>0</v>
      </c>
      <c r="S105" s="20">
        <f t="shared" si="14"/>
        <v>0</v>
      </c>
      <c r="T105" s="20">
        <f t="shared" si="15"/>
        <v>0</v>
      </c>
      <c r="U105" s="20">
        <f>SUMIF('GSTR-2B'!$G:$G,$B105,'GSTR-2B'!U:U)</f>
        <v>0</v>
      </c>
      <c r="V105" s="21"/>
      <c r="W105" s="22" t="str">
        <f>VLOOKUP(A105,'GST Wise Reco'!$A$3:$T$34,20,0)</f>
        <v>Book And 2B Match</v>
      </c>
      <c r="X105" t="s">
        <v>29</v>
      </c>
      <c r="Y105" t="s">
        <v>29</v>
      </c>
    </row>
    <row r="106" spans="1:25" x14ac:dyDescent="0.3">
      <c r="A106" s="18" t="s">
        <v>66</v>
      </c>
      <c r="B106" s="18" t="s">
        <v>349</v>
      </c>
      <c r="C106" s="18"/>
      <c r="D106" s="18"/>
      <c r="E106" s="20">
        <f>SUMIF(Book!$G:$G,$B106,Book!J:J)</f>
        <v>10000</v>
      </c>
      <c r="F106" s="20">
        <f>SUMIF(Book!$G:$G,$B106,Book!L:L)</f>
        <v>0</v>
      </c>
      <c r="G106" s="20">
        <f>SUMIF(Book!$G:$G,$B106,Book!M:M)</f>
        <v>900</v>
      </c>
      <c r="H106" s="20">
        <f>SUMIF(Book!$G:$G,$B106,Book!N:N)</f>
        <v>900</v>
      </c>
      <c r="I106" s="20">
        <f>SUMIF(Book!$G:$G,$B106,Book!O:O)</f>
        <v>0</v>
      </c>
      <c r="J106" s="18"/>
      <c r="K106" s="20">
        <f>SUMIF('GSTR-2B'!$G:$G,$B106,'GSTR-2B'!J:J)</f>
        <v>10000</v>
      </c>
      <c r="L106" s="20">
        <f>SUMIF('GSTR-2B'!$G:$G,$B106,'GSTR-2B'!L:L)</f>
        <v>0</v>
      </c>
      <c r="M106" s="20">
        <f>SUMIF('GSTR-2B'!$G:$G,$B106,'GSTR-2B'!M:M)</f>
        <v>900</v>
      </c>
      <c r="N106" s="20">
        <f>SUMIF('GSTR-2B'!$G:$G,$B106,'GSTR-2B'!N:N)</f>
        <v>900</v>
      </c>
      <c r="O106" s="20">
        <f>SUMIF('GSTR-2B'!$G:$G,$B106,'GSTR-2B'!O:O)</f>
        <v>0</v>
      </c>
      <c r="P106" s="20"/>
      <c r="Q106" s="20">
        <f t="shared" si="12"/>
        <v>0</v>
      </c>
      <c r="R106" s="20">
        <f t="shared" si="13"/>
        <v>0</v>
      </c>
      <c r="S106" s="20">
        <f t="shared" si="14"/>
        <v>0</v>
      </c>
      <c r="T106" s="20">
        <f t="shared" si="15"/>
        <v>0</v>
      </c>
      <c r="U106" s="20">
        <f>SUMIF('GSTR-2B'!$G:$G,$B106,'GSTR-2B'!U:U)</f>
        <v>0</v>
      </c>
      <c r="V106" s="21"/>
      <c r="W106" s="22" t="str">
        <f>VLOOKUP(A106,'GST Wise Reco'!$A$3:$T$34,20,0)</f>
        <v>Book And 2B Match</v>
      </c>
      <c r="X106" t="s">
        <v>29</v>
      </c>
      <c r="Y106" t="s">
        <v>29</v>
      </c>
    </row>
    <row r="107" spans="1:25" x14ac:dyDescent="0.3">
      <c r="A107" s="18" t="s">
        <v>66</v>
      </c>
      <c r="B107" s="18" t="s">
        <v>355</v>
      </c>
      <c r="C107" s="18"/>
      <c r="D107" s="18"/>
      <c r="E107" s="20">
        <f>SUMIF(Book!$G:$G,$B107,Book!J:J)</f>
        <v>10000</v>
      </c>
      <c r="F107" s="20">
        <f>SUMIF(Book!$G:$G,$B107,Book!L:L)</f>
        <v>0</v>
      </c>
      <c r="G107" s="20">
        <f>SUMIF(Book!$G:$G,$B107,Book!M:M)</f>
        <v>900</v>
      </c>
      <c r="H107" s="20">
        <f>SUMIF(Book!$G:$G,$B107,Book!N:N)</f>
        <v>900</v>
      </c>
      <c r="I107" s="20">
        <f>SUMIF(Book!$G:$G,$B107,Book!O:O)</f>
        <v>0</v>
      </c>
      <c r="J107" s="18"/>
      <c r="K107" s="20">
        <f>SUMIF('GSTR-2B'!$G:$G,$B107,'GSTR-2B'!J:J)</f>
        <v>10000</v>
      </c>
      <c r="L107" s="20">
        <f>SUMIF('GSTR-2B'!$G:$G,$B107,'GSTR-2B'!L:L)</f>
        <v>0</v>
      </c>
      <c r="M107" s="20">
        <f>SUMIF('GSTR-2B'!$G:$G,$B107,'GSTR-2B'!M:M)</f>
        <v>900</v>
      </c>
      <c r="N107" s="20">
        <f>SUMIF('GSTR-2B'!$G:$G,$B107,'GSTR-2B'!N:N)</f>
        <v>900</v>
      </c>
      <c r="O107" s="20">
        <f>SUMIF('GSTR-2B'!$G:$G,$B107,'GSTR-2B'!O:O)</f>
        <v>0</v>
      </c>
      <c r="P107" s="20"/>
      <c r="Q107" s="20">
        <f t="shared" si="12"/>
        <v>0</v>
      </c>
      <c r="R107" s="20">
        <f t="shared" si="13"/>
        <v>0</v>
      </c>
      <c r="S107" s="20">
        <f t="shared" si="14"/>
        <v>0</v>
      </c>
      <c r="T107" s="20">
        <f t="shared" si="15"/>
        <v>0</v>
      </c>
      <c r="U107" s="20">
        <f>SUMIF('GSTR-2B'!$G:$G,$B107,'GSTR-2B'!U:U)</f>
        <v>0</v>
      </c>
      <c r="V107" s="21"/>
      <c r="W107" s="22" t="str">
        <f>VLOOKUP(A107,'GST Wise Reco'!$A$3:$T$34,20,0)</f>
        <v>Book And 2B Match</v>
      </c>
      <c r="X107" t="s">
        <v>29</v>
      </c>
      <c r="Y107" t="s">
        <v>29</v>
      </c>
    </row>
    <row r="108" spans="1:25" x14ac:dyDescent="0.3">
      <c r="A108" s="18" t="s">
        <v>66</v>
      </c>
      <c r="B108" s="18" t="s">
        <v>359</v>
      </c>
      <c r="C108" s="18"/>
      <c r="D108" s="18"/>
      <c r="E108" s="20">
        <f>SUMIF(Book!$G:$G,$B108,Book!J:J)</f>
        <v>2329050.91</v>
      </c>
      <c r="F108" s="20">
        <f>SUMIF(Book!$G:$G,$B108,Book!L:L)</f>
        <v>0</v>
      </c>
      <c r="G108" s="20">
        <f>SUMIF(Book!$G:$G,$B108,Book!M:M)</f>
        <v>209614.58</v>
      </c>
      <c r="H108" s="20">
        <f>SUMIF(Book!$G:$G,$B108,Book!N:N)</f>
        <v>209614.58</v>
      </c>
      <c r="I108" s="20">
        <f>SUMIF(Book!$G:$G,$B108,Book!O:O)</f>
        <v>0</v>
      </c>
      <c r="J108" s="18"/>
      <c r="K108" s="20">
        <f>SUMIF('GSTR-2B'!$G:$G,$B108,'GSTR-2B'!J:J)</f>
        <v>2329050.91</v>
      </c>
      <c r="L108" s="20">
        <f>SUMIF('GSTR-2B'!$G:$G,$B108,'GSTR-2B'!L:L)</f>
        <v>0</v>
      </c>
      <c r="M108" s="20">
        <f>SUMIF('GSTR-2B'!$G:$G,$B108,'GSTR-2B'!M:M)</f>
        <v>209615</v>
      </c>
      <c r="N108" s="20">
        <f>SUMIF('GSTR-2B'!$G:$G,$B108,'GSTR-2B'!N:N)</f>
        <v>209615</v>
      </c>
      <c r="O108" s="20">
        <f>SUMIF('GSTR-2B'!$G:$G,$B108,'GSTR-2B'!O:O)</f>
        <v>0</v>
      </c>
      <c r="P108" s="20"/>
      <c r="Q108" s="20">
        <f t="shared" si="12"/>
        <v>0</v>
      </c>
      <c r="R108" s="20">
        <f t="shared" si="13"/>
        <v>0</v>
      </c>
      <c r="S108" s="20">
        <f t="shared" si="14"/>
        <v>-0.42000000001280569</v>
      </c>
      <c r="T108" s="20">
        <f t="shared" si="15"/>
        <v>-0.42000000001280569</v>
      </c>
      <c r="U108" s="20">
        <f>SUMIF('GSTR-2B'!$G:$G,$B108,'GSTR-2B'!U:U)</f>
        <v>0</v>
      </c>
      <c r="V108" s="21"/>
      <c r="W108" s="22" t="str">
        <f>VLOOKUP(A108,'GST Wise Reco'!$A$3:$T$34,20,0)</f>
        <v>Book And 2B Match</v>
      </c>
      <c r="X108" t="s">
        <v>29</v>
      </c>
      <c r="Y108" t="s">
        <v>29</v>
      </c>
    </row>
    <row r="109" spans="1:25" x14ac:dyDescent="0.3">
      <c r="A109" s="18" t="s">
        <v>66</v>
      </c>
      <c r="B109" s="18" t="s">
        <v>363</v>
      </c>
      <c r="C109" s="18"/>
      <c r="D109" s="18"/>
      <c r="E109" s="20">
        <f>SUMIF(Book!$G:$G,$B109,Book!J:J)</f>
        <v>10000</v>
      </c>
      <c r="F109" s="20">
        <f>SUMIF(Book!$G:$G,$B109,Book!L:L)</f>
        <v>0</v>
      </c>
      <c r="G109" s="20">
        <f>SUMIF(Book!$G:$G,$B109,Book!M:M)</f>
        <v>900</v>
      </c>
      <c r="H109" s="20">
        <f>SUMIF(Book!$G:$G,$B109,Book!N:N)</f>
        <v>900</v>
      </c>
      <c r="I109" s="20">
        <f>SUMIF(Book!$G:$G,$B109,Book!O:O)</f>
        <v>0</v>
      </c>
      <c r="J109" s="18"/>
      <c r="K109" s="20">
        <f>SUMIF('GSTR-2B'!$G:$G,$B109,'GSTR-2B'!J:J)</f>
        <v>10000</v>
      </c>
      <c r="L109" s="20">
        <f>SUMIF('GSTR-2B'!$G:$G,$B109,'GSTR-2B'!L:L)</f>
        <v>0</v>
      </c>
      <c r="M109" s="20">
        <f>SUMIF('GSTR-2B'!$G:$G,$B109,'GSTR-2B'!M:M)</f>
        <v>900</v>
      </c>
      <c r="N109" s="20">
        <f>SUMIF('GSTR-2B'!$G:$G,$B109,'GSTR-2B'!N:N)</f>
        <v>900</v>
      </c>
      <c r="O109" s="20">
        <f>SUMIF('GSTR-2B'!$G:$G,$B109,'GSTR-2B'!O:O)</f>
        <v>0</v>
      </c>
      <c r="P109" s="20"/>
      <c r="Q109" s="20">
        <f t="shared" si="12"/>
        <v>0</v>
      </c>
      <c r="R109" s="20">
        <f t="shared" si="13"/>
        <v>0</v>
      </c>
      <c r="S109" s="20">
        <f t="shared" si="14"/>
        <v>0</v>
      </c>
      <c r="T109" s="20">
        <f t="shared" si="15"/>
        <v>0</v>
      </c>
      <c r="U109" s="20">
        <f>SUMIF('GSTR-2B'!$G:$G,$B109,'GSTR-2B'!U:U)</f>
        <v>0</v>
      </c>
      <c r="V109" s="21"/>
      <c r="W109" s="22" t="str">
        <f>VLOOKUP(A109,'GST Wise Reco'!$A$3:$T$34,20,0)</f>
        <v>Book And 2B Match</v>
      </c>
      <c r="X109" t="s">
        <v>29</v>
      </c>
      <c r="Y109" t="s">
        <v>29</v>
      </c>
    </row>
    <row r="110" spans="1:25" x14ac:dyDescent="0.3">
      <c r="A110" s="18" t="s">
        <v>66</v>
      </c>
      <c r="B110" s="18" t="s">
        <v>367</v>
      </c>
      <c r="C110" s="18"/>
      <c r="D110" s="18"/>
      <c r="E110" s="20">
        <f>SUMIF(Book!$G:$G,$B110,Book!J:J)</f>
        <v>3791800.71</v>
      </c>
      <c r="F110" s="20">
        <f>SUMIF(Book!$G:$G,$B110,Book!L:L)</f>
        <v>0</v>
      </c>
      <c r="G110" s="20">
        <f>SUMIF(Book!$G:$G,$B110,Book!M:M)</f>
        <v>341262.06</v>
      </c>
      <c r="H110" s="20">
        <f>SUMIF(Book!$G:$G,$B110,Book!N:N)</f>
        <v>341262.06</v>
      </c>
      <c r="I110" s="20">
        <f>SUMIF(Book!$G:$G,$B110,Book!O:O)</f>
        <v>0</v>
      </c>
      <c r="J110" s="18"/>
      <c r="K110" s="20">
        <f>SUMIF('GSTR-2B'!$G:$G,$B110,'GSTR-2B'!J:J)</f>
        <v>3791800.7</v>
      </c>
      <c r="L110" s="20">
        <f>SUMIF('GSTR-2B'!$G:$G,$B110,'GSTR-2B'!L:L)</f>
        <v>0</v>
      </c>
      <c r="M110" s="20">
        <f>SUMIF('GSTR-2B'!$G:$G,$B110,'GSTR-2B'!M:M)</f>
        <v>341262</v>
      </c>
      <c r="N110" s="20">
        <f>SUMIF('GSTR-2B'!$G:$G,$B110,'GSTR-2B'!N:N)</f>
        <v>341262</v>
      </c>
      <c r="O110" s="20">
        <f>SUMIF('GSTR-2B'!$G:$G,$B110,'GSTR-2B'!O:O)</f>
        <v>0</v>
      </c>
      <c r="P110" s="20"/>
      <c r="Q110" s="20">
        <f t="shared" si="12"/>
        <v>9.9999997764825821E-3</v>
      </c>
      <c r="R110" s="20">
        <f t="shared" si="13"/>
        <v>0</v>
      </c>
      <c r="S110" s="20">
        <f t="shared" si="14"/>
        <v>5.9999999997671694E-2</v>
      </c>
      <c r="T110" s="20">
        <f t="shared" si="15"/>
        <v>5.9999999997671694E-2</v>
      </c>
      <c r="U110" s="20">
        <f>SUMIF('GSTR-2B'!$G:$G,$B110,'GSTR-2B'!U:U)</f>
        <v>0</v>
      </c>
      <c r="V110" s="21"/>
      <c r="W110" s="22" t="str">
        <f>VLOOKUP(A110,'GST Wise Reco'!$A$3:$T$34,20,0)</f>
        <v>Book And 2B Match</v>
      </c>
      <c r="X110" t="s">
        <v>29</v>
      </c>
      <c r="Y110" t="s">
        <v>29</v>
      </c>
    </row>
    <row r="111" spans="1:25" x14ac:dyDescent="0.3">
      <c r="A111" s="18" t="s">
        <v>66</v>
      </c>
      <c r="B111" s="18" t="s">
        <v>368</v>
      </c>
      <c r="C111" s="18"/>
      <c r="D111" s="18"/>
      <c r="E111" s="20">
        <f>SUMIF(Book!$G:$G,$B111,Book!J:J)</f>
        <v>876352.15</v>
      </c>
      <c r="F111" s="20">
        <f>SUMIF(Book!$G:$G,$B111,Book!L:L)</f>
        <v>0</v>
      </c>
      <c r="G111" s="20">
        <f>SUMIF(Book!$G:$G,$B111,Book!M:M)</f>
        <v>78871.69</v>
      </c>
      <c r="H111" s="20">
        <f>SUMIF(Book!$G:$G,$B111,Book!N:N)</f>
        <v>78871.69</v>
      </c>
      <c r="I111" s="20">
        <f>SUMIF(Book!$G:$G,$B111,Book!O:O)</f>
        <v>0</v>
      </c>
      <c r="J111" s="18"/>
      <c r="K111" s="20">
        <f>SUMIF('GSTR-2B'!$G:$G,$B111,'GSTR-2B'!J:J)</f>
        <v>876352.15</v>
      </c>
      <c r="L111" s="20">
        <f>SUMIF('GSTR-2B'!$G:$G,$B111,'GSTR-2B'!L:L)</f>
        <v>0</v>
      </c>
      <c r="M111" s="20">
        <f>SUMIF('GSTR-2B'!$G:$G,$B111,'GSTR-2B'!M:M)</f>
        <v>78872</v>
      </c>
      <c r="N111" s="20">
        <f>SUMIF('GSTR-2B'!$G:$G,$B111,'GSTR-2B'!N:N)</f>
        <v>78872</v>
      </c>
      <c r="O111" s="20">
        <f>SUMIF('GSTR-2B'!$G:$G,$B111,'GSTR-2B'!O:O)</f>
        <v>0</v>
      </c>
      <c r="P111" s="20"/>
      <c r="Q111" s="20">
        <f t="shared" si="12"/>
        <v>0</v>
      </c>
      <c r="R111" s="20">
        <f t="shared" si="13"/>
        <v>0</v>
      </c>
      <c r="S111" s="20">
        <f t="shared" si="14"/>
        <v>-0.30999999999767169</v>
      </c>
      <c r="T111" s="20">
        <f t="shared" si="15"/>
        <v>-0.30999999999767169</v>
      </c>
      <c r="U111" s="20">
        <f>SUMIF('GSTR-2B'!$G:$G,$B111,'GSTR-2B'!U:U)</f>
        <v>0</v>
      </c>
      <c r="V111" s="21"/>
      <c r="W111" s="22" t="str">
        <f>VLOOKUP(A111,'GST Wise Reco'!$A$3:$T$34,20,0)</f>
        <v>Book And 2B Match</v>
      </c>
      <c r="X111" t="s">
        <v>29</v>
      </c>
      <c r="Y111" t="s">
        <v>29</v>
      </c>
    </row>
    <row r="112" spans="1:25" x14ac:dyDescent="0.3">
      <c r="A112" s="18" t="s">
        <v>66</v>
      </c>
      <c r="B112" s="18" t="s">
        <v>369</v>
      </c>
      <c r="C112" s="18"/>
      <c r="D112" s="18"/>
      <c r="E112" s="20">
        <f>SUMIF(Book!$G:$G,$B112,Book!J:J)</f>
        <v>235781.15</v>
      </c>
      <c r="F112" s="20">
        <f>SUMIF(Book!$G:$G,$B112,Book!L:L)</f>
        <v>0</v>
      </c>
      <c r="G112" s="20">
        <f>SUMIF(Book!$G:$G,$B112,Book!M:M)</f>
        <v>21220.3</v>
      </c>
      <c r="H112" s="20">
        <f>SUMIF(Book!$G:$G,$B112,Book!N:N)</f>
        <v>21220.3</v>
      </c>
      <c r="I112" s="20">
        <f>SUMIF(Book!$G:$G,$B112,Book!O:O)</f>
        <v>0</v>
      </c>
      <c r="J112" s="18"/>
      <c r="K112" s="20">
        <f>SUMIF('GSTR-2B'!$G:$G,$B112,'GSTR-2B'!J:J)</f>
        <v>235781.15</v>
      </c>
      <c r="L112" s="20">
        <f>SUMIF('GSTR-2B'!$G:$G,$B112,'GSTR-2B'!L:L)</f>
        <v>0</v>
      </c>
      <c r="M112" s="20">
        <f>SUMIF('GSTR-2B'!$G:$G,$B112,'GSTR-2B'!M:M)</f>
        <v>21220</v>
      </c>
      <c r="N112" s="20">
        <f>SUMIF('GSTR-2B'!$G:$G,$B112,'GSTR-2B'!N:N)</f>
        <v>21220</v>
      </c>
      <c r="O112" s="20">
        <f>SUMIF('GSTR-2B'!$G:$G,$B112,'GSTR-2B'!O:O)</f>
        <v>0</v>
      </c>
      <c r="P112" s="20"/>
      <c r="Q112" s="20">
        <f t="shared" si="12"/>
        <v>0</v>
      </c>
      <c r="R112" s="20">
        <f t="shared" si="13"/>
        <v>0</v>
      </c>
      <c r="S112" s="20">
        <f t="shared" si="14"/>
        <v>0.2999999999992724</v>
      </c>
      <c r="T112" s="20">
        <f t="shared" si="15"/>
        <v>0.2999999999992724</v>
      </c>
      <c r="U112" s="20">
        <f>SUMIF('GSTR-2B'!$G:$G,$B112,'GSTR-2B'!U:U)</f>
        <v>0</v>
      </c>
      <c r="V112" s="21"/>
      <c r="W112" s="22" t="str">
        <f>VLOOKUP(A112,'GST Wise Reco'!$A$3:$T$34,20,0)</f>
        <v>Book And 2B Match</v>
      </c>
      <c r="X112" t="s">
        <v>29</v>
      </c>
      <c r="Y112" t="s">
        <v>29</v>
      </c>
    </row>
    <row r="113" spans="1:25" x14ac:dyDescent="0.3">
      <c r="A113" s="18" t="s">
        <v>66</v>
      </c>
      <c r="B113" s="18" t="s">
        <v>370</v>
      </c>
      <c r="C113" s="18"/>
      <c r="D113" s="18"/>
      <c r="E113" s="20">
        <f>SUMIF(Book!$G:$G,$B113,Book!J:J)</f>
        <v>335348.75</v>
      </c>
      <c r="F113" s="20">
        <f>SUMIF(Book!$G:$G,$B113,Book!L:L)</f>
        <v>0</v>
      </c>
      <c r="G113" s="20">
        <f>SUMIF(Book!$G:$G,$B113,Book!M:M)</f>
        <v>30181.39</v>
      </c>
      <c r="H113" s="20">
        <f>SUMIF(Book!$G:$G,$B113,Book!N:N)</f>
        <v>30181.39</v>
      </c>
      <c r="I113" s="20">
        <f>SUMIF(Book!$G:$G,$B113,Book!O:O)</f>
        <v>0</v>
      </c>
      <c r="J113" s="18"/>
      <c r="K113" s="20">
        <f>SUMIF('GSTR-2B'!$G:$G,$B113,'GSTR-2B'!J:J)</f>
        <v>335348.75</v>
      </c>
      <c r="L113" s="20">
        <f>SUMIF('GSTR-2B'!$G:$G,$B113,'GSTR-2B'!L:L)</f>
        <v>0</v>
      </c>
      <c r="M113" s="20">
        <f>SUMIF('GSTR-2B'!$G:$G,$B113,'GSTR-2B'!M:M)</f>
        <v>30181</v>
      </c>
      <c r="N113" s="20">
        <f>SUMIF('GSTR-2B'!$G:$G,$B113,'GSTR-2B'!N:N)</f>
        <v>30181</v>
      </c>
      <c r="O113" s="20">
        <f>SUMIF('GSTR-2B'!$G:$G,$B113,'GSTR-2B'!O:O)</f>
        <v>0</v>
      </c>
      <c r="P113" s="20"/>
      <c r="Q113" s="20">
        <f t="shared" si="12"/>
        <v>0</v>
      </c>
      <c r="R113" s="20">
        <f t="shared" si="13"/>
        <v>0</v>
      </c>
      <c r="S113" s="20">
        <f t="shared" si="14"/>
        <v>0.38999999999941792</v>
      </c>
      <c r="T113" s="20">
        <f t="shared" si="15"/>
        <v>0.38999999999941792</v>
      </c>
      <c r="U113" s="20">
        <f>SUMIF('GSTR-2B'!$G:$G,$B113,'GSTR-2B'!U:U)</f>
        <v>0</v>
      </c>
      <c r="V113" s="21"/>
      <c r="W113" s="22" t="str">
        <f>VLOOKUP(A113,'GST Wise Reco'!$A$3:$T$34,20,0)</f>
        <v>Book And 2B Match</v>
      </c>
      <c r="X113" t="s">
        <v>29</v>
      </c>
      <c r="Y113" t="s">
        <v>29</v>
      </c>
    </row>
    <row r="114" spans="1:25" x14ac:dyDescent="0.3">
      <c r="A114" s="18" t="s">
        <v>66</v>
      </c>
      <c r="B114" s="18" t="s">
        <v>379</v>
      </c>
      <c r="C114" s="18"/>
      <c r="D114" s="18"/>
      <c r="E114" s="20">
        <f>SUMIF(Book!$G:$G,$B114,Book!J:J)</f>
        <v>10000</v>
      </c>
      <c r="F114" s="20">
        <f>SUMIF(Book!$G:$G,$B114,Book!L:L)</f>
        <v>0</v>
      </c>
      <c r="G114" s="20">
        <f>SUMIF(Book!$G:$G,$B114,Book!M:M)</f>
        <v>900</v>
      </c>
      <c r="H114" s="20">
        <f>SUMIF(Book!$G:$G,$B114,Book!N:N)</f>
        <v>900</v>
      </c>
      <c r="I114" s="20">
        <f>SUMIF(Book!$G:$G,$B114,Book!O:O)</f>
        <v>0</v>
      </c>
      <c r="J114" s="18"/>
      <c r="K114" s="20">
        <f>SUMIF('GSTR-2B'!$G:$G,$B114,'GSTR-2B'!J:J)</f>
        <v>10000</v>
      </c>
      <c r="L114" s="20">
        <f>SUMIF('GSTR-2B'!$G:$G,$B114,'GSTR-2B'!L:L)</f>
        <v>0</v>
      </c>
      <c r="M114" s="20">
        <f>SUMIF('GSTR-2B'!$G:$G,$B114,'GSTR-2B'!M:M)</f>
        <v>900</v>
      </c>
      <c r="N114" s="20">
        <f>SUMIF('GSTR-2B'!$G:$G,$B114,'GSTR-2B'!N:N)</f>
        <v>900</v>
      </c>
      <c r="O114" s="20">
        <f>SUMIF('GSTR-2B'!$G:$G,$B114,'GSTR-2B'!O:O)</f>
        <v>0</v>
      </c>
      <c r="P114" s="20"/>
      <c r="Q114" s="20">
        <f t="shared" si="12"/>
        <v>0</v>
      </c>
      <c r="R114" s="20">
        <f t="shared" si="13"/>
        <v>0</v>
      </c>
      <c r="S114" s="20">
        <f t="shared" si="14"/>
        <v>0</v>
      </c>
      <c r="T114" s="20">
        <f t="shared" si="15"/>
        <v>0</v>
      </c>
      <c r="U114" s="20">
        <f>SUMIF('GSTR-2B'!$G:$G,$B114,'GSTR-2B'!U:U)</f>
        <v>0</v>
      </c>
      <c r="V114" s="21"/>
      <c r="W114" s="22" t="str">
        <f>VLOOKUP(A114,'GST Wise Reco'!$A$3:$T$34,20,0)</f>
        <v>Book And 2B Match</v>
      </c>
      <c r="X114" t="s">
        <v>29</v>
      </c>
      <c r="Y114" t="s">
        <v>29</v>
      </c>
    </row>
    <row r="115" spans="1:25" x14ac:dyDescent="0.3">
      <c r="A115" s="18" t="s">
        <v>66</v>
      </c>
      <c r="B115" s="18" t="s">
        <v>386</v>
      </c>
      <c r="C115" s="18"/>
      <c r="D115" s="18"/>
      <c r="E115" s="20">
        <f>SUMIF(Book!$G:$G,$B115,Book!J:J)</f>
        <v>10000</v>
      </c>
      <c r="F115" s="20">
        <f>SUMIF(Book!$G:$G,$B115,Book!L:L)</f>
        <v>0</v>
      </c>
      <c r="G115" s="20">
        <f>SUMIF(Book!$G:$G,$B115,Book!M:M)</f>
        <v>900</v>
      </c>
      <c r="H115" s="20">
        <f>SUMIF(Book!$G:$G,$B115,Book!N:N)</f>
        <v>900</v>
      </c>
      <c r="I115" s="20">
        <f>SUMIF(Book!$G:$G,$B115,Book!O:O)</f>
        <v>0</v>
      </c>
      <c r="J115" s="18"/>
      <c r="K115" s="20">
        <f>SUMIF('GSTR-2B'!$G:$G,$B115,'GSTR-2B'!J:J)</f>
        <v>10000</v>
      </c>
      <c r="L115" s="20">
        <f>SUMIF('GSTR-2B'!$G:$G,$B115,'GSTR-2B'!L:L)</f>
        <v>0</v>
      </c>
      <c r="M115" s="20">
        <f>SUMIF('GSTR-2B'!$G:$G,$B115,'GSTR-2B'!M:M)</f>
        <v>900</v>
      </c>
      <c r="N115" s="20">
        <f>SUMIF('GSTR-2B'!$G:$G,$B115,'GSTR-2B'!N:N)</f>
        <v>900</v>
      </c>
      <c r="O115" s="20">
        <f>SUMIF('GSTR-2B'!$G:$G,$B115,'GSTR-2B'!O:O)</f>
        <v>0</v>
      </c>
      <c r="P115" s="20"/>
      <c r="Q115" s="20">
        <f t="shared" si="12"/>
        <v>0</v>
      </c>
      <c r="R115" s="20">
        <f t="shared" si="13"/>
        <v>0</v>
      </c>
      <c r="S115" s="20">
        <f t="shared" si="14"/>
        <v>0</v>
      </c>
      <c r="T115" s="20">
        <f t="shared" si="15"/>
        <v>0</v>
      </c>
      <c r="U115" s="20">
        <f>SUMIF('GSTR-2B'!$G:$G,$B115,'GSTR-2B'!U:U)</f>
        <v>0</v>
      </c>
      <c r="V115" s="21"/>
      <c r="W115" s="22" t="str">
        <f>VLOOKUP(A115,'GST Wise Reco'!$A$3:$T$34,20,0)</f>
        <v>Book And 2B Match</v>
      </c>
      <c r="X115" t="s">
        <v>29</v>
      </c>
      <c r="Y115" t="s">
        <v>29</v>
      </c>
    </row>
    <row r="116" spans="1:25" x14ac:dyDescent="0.3">
      <c r="A116" s="18" t="s">
        <v>66</v>
      </c>
      <c r="B116" s="18" t="s">
        <v>396</v>
      </c>
      <c r="C116" s="18"/>
      <c r="D116" s="18"/>
      <c r="E116" s="20">
        <f>SUMIF(Book!$G:$G,$B116,Book!J:J)</f>
        <v>10000</v>
      </c>
      <c r="F116" s="20">
        <f>SUMIF(Book!$G:$G,$B116,Book!L:L)</f>
        <v>0</v>
      </c>
      <c r="G116" s="20">
        <f>SUMIF(Book!$G:$G,$B116,Book!M:M)</f>
        <v>900</v>
      </c>
      <c r="H116" s="20">
        <f>SUMIF(Book!$G:$G,$B116,Book!N:N)</f>
        <v>900</v>
      </c>
      <c r="I116" s="20">
        <f>SUMIF(Book!$G:$G,$B116,Book!O:O)</f>
        <v>0</v>
      </c>
      <c r="J116" s="18"/>
      <c r="K116" s="20">
        <f>SUMIF('GSTR-2B'!$G:$G,$B116,'GSTR-2B'!J:J)</f>
        <v>10000</v>
      </c>
      <c r="L116" s="20">
        <f>SUMIF('GSTR-2B'!$G:$G,$B116,'GSTR-2B'!L:L)</f>
        <v>0</v>
      </c>
      <c r="M116" s="20">
        <f>SUMIF('GSTR-2B'!$G:$G,$B116,'GSTR-2B'!M:M)</f>
        <v>900</v>
      </c>
      <c r="N116" s="20">
        <f>SUMIF('GSTR-2B'!$G:$G,$B116,'GSTR-2B'!N:N)</f>
        <v>900</v>
      </c>
      <c r="O116" s="20">
        <f>SUMIF('GSTR-2B'!$G:$G,$B116,'GSTR-2B'!O:O)</f>
        <v>0</v>
      </c>
      <c r="P116" s="20"/>
      <c r="Q116" s="20">
        <f t="shared" si="12"/>
        <v>0</v>
      </c>
      <c r="R116" s="20">
        <f t="shared" si="13"/>
        <v>0</v>
      </c>
      <c r="S116" s="20">
        <f t="shared" si="14"/>
        <v>0</v>
      </c>
      <c r="T116" s="20">
        <f t="shared" si="15"/>
        <v>0</v>
      </c>
      <c r="U116" s="20">
        <f>SUMIF('GSTR-2B'!$G:$G,$B116,'GSTR-2B'!U:U)</f>
        <v>0</v>
      </c>
      <c r="V116" s="21"/>
      <c r="W116" s="22" t="str">
        <f>VLOOKUP(A116,'GST Wise Reco'!$A$3:$T$34,20,0)</f>
        <v>Book And 2B Match</v>
      </c>
      <c r="X116" t="s">
        <v>29</v>
      </c>
      <c r="Y116" t="s">
        <v>29</v>
      </c>
    </row>
    <row r="117" spans="1:25" x14ac:dyDescent="0.3">
      <c r="A117" s="18" t="s">
        <v>66</v>
      </c>
      <c r="B117" s="18" t="s">
        <v>449</v>
      </c>
      <c r="C117" s="18"/>
      <c r="D117" s="18"/>
      <c r="E117" s="20">
        <f>SUMIF(Book!$G:$G,$B117,Book!J:J)</f>
        <v>0</v>
      </c>
      <c r="F117" s="20">
        <f>SUMIF(Book!$G:$G,$B117,Book!L:L)</f>
        <v>0</v>
      </c>
      <c r="G117" s="20">
        <f>SUMIF(Book!$G:$G,$B117,Book!M:M)</f>
        <v>0</v>
      </c>
      <c r="H117" s="20">
        <f>SUMIF(Book!$G:$G,$B117,Book!N:N)</f>
        <v>0</v>
      </c>
      <c r="I117" s="20">
        <f>SUMIF(Book!$G:$G,$B117,Book!O:O)</f>
        <v>0</v>
      </c>
      <c r="J117" s="18"/>
      <c r="K117" s="20">
        <f>SUMIF('GSTR-2B'!$G:$G,$B117,'GSTR-2B'!J:J)</f>
        <v>100000</v>
      </c>
      <c r="L117" s="20">
        <f>SUMIF('GSTR-2B'!$G:$G,$B117,'GSTR-2B'!L:L)</f>
        <v>0</v>
      </c>
      <c r="M117" s="20">
        <f>SUMIF('GSTR-2B'!$G:$G,$B117,'GSTR-2B'!M:M)</f>
        <v>9000</v>
      </c>
      <c r="N117" s="20">
        <f>SUMIF('GSTR-2B'!$G:$G,$B117,'GSTR-2B'!N:N)</f>
        <v>9000</v>
      </c>
      <c r="O117" s="20">
        <f>SUMIF('GSTR-2B'!$G:$G,$B117,'GSTR-2B'!O:O)</f>
        <v>0</v>
      </c>
      <c r="P117" s="20"/>
      <c r="Q117" s="20">
        <f t="shared" si="12"/>
        <v>-100000</v>
      </c>
      <c r="R117" s="20">
        <f t="shared" si="13"/>
        <v>0</v>
      </c>
      <c r="S117" s="20">
        <f t="shared" si="14"/>
        <v>-9000</v>
      </c>
      <c r="T117" s="20">
        <f t="shared" si="15"/>
        <v>-9000</v>
      </c>
      <c r="U117" s="20">
        <f>SUMIF('GSTR-2B'!$G:$G,$B117,'GSTR-2B'!U:U)</f>
        <v>0</v>
      </c>
      <c r="V117" s="21"/>
      <c r="W117" s="22" t="str">
        <f>VLOOKUP(A117,'GST Wise Reco'!$A$3:$T$34,20,0)</f>
        <v>Book And 2B Match</v>
      </c>
      <c r="X117" t="s">
        <v>485</v>
      </c>
      <c r="Y117" t="s">
        <v>485</v>
      </c>
    </row>
    <row r="118" spans="1:25" x14ac:dyDescent="0.3">
      <c r="A118" s="18" t="s">
        <v>66</v>
      </c>
      <c r="B118" s="18" t="s">
        <v>473</v>
      </c>
      <c r="C118" s="18"/>
      <c r="D118" s="18"/>
      <c r="E118" s="20">
        <f>SUMIF(Book!$G:$G,$B118,Book!J:J)</f>
        <v>0</v>
      </c>
      <c r="F118" s="20">
        <f>SUMIF(Book!$G:$G,$B118,Book!L:L)</f>
        <v>0</v>
      </c>
      <c r="G118" s="20">
        <f>SUMIF(Book!$G:$G,$B118,Book!M:M)</f>
        <v>0</v>
      </c>
      <c r="H118" s="20">
        <f>SUMIF(Book!$G:$G,$B118,Book!N:N)</f>
        <v>0</v>
      </c>
      <c r="I118" s="20">
        <f>SUMIF(Book!$G:$G,$B118,Book!O:O)</f>
        <v>0</v>
      </c>
      <c r="J118" s="18"/>
      <c r="K118" s="20">
        <f>SUMIF('GSTR-2B'!$G:$G,$B118,'GSTR-2B'!J:J)</f>
        <v>-100000</v>
      </c>
      <c r="L118" s="20">
        <f>SUMIF('GSTR-2B'!$G:$G,$B118,'GSTR-2B'!L:L)</f>
        <v>0</v>
      </c>
      <c r="M118" s="20">
        <f>SUMIF('GSTR-2B'!$G:$G,$B118,'GSTR-2B'!M:M)</f>
        <v>-9000</v>
      </c>
      <c r="N118" s="20">
        <f>SUMIF('GSTR-2B'!$G:$G,$B118,'GSTR-2B'!N:N)</f>
        <v>-9000</v>
      </c>
      <c r="O118" s="20">
        <f>SUMIF('GSTR-2B'!$G:$G,$B118,'GSTR-2B'!O:O)</f>
        <v>0</v>
      </c>
      <c r="P118" s="20"/>
      <c r="Q118" s="20">
        <f t="shared" si="12"/>
        <v>100000</v>
      </c>
      <c r="R118" s="20">
        <f t="shared" si="13"/>
        <v>0</v>
      </c>
      <c r="S118" s="20">
        <f t="shared" si="14"/>
        <v>9000</v>
      </c>
      <c r="T118" s="20">
        <f t="shared" si="15"/>
        <v>9000</v>
      </c>
      <c r="U118" s="20">
        <f>SUMIF('GSTR-2B'!$G:$G,$B118,'GSTR-2B'!U:U)</f>
        <v>0</v>
      </c>
      <c r="V118" s="21"/>
      <c r="W118" s="22" t="str">
        <f>VLOOKUP(A118,'GST Wise Reco'!$A$3:$T$34,20,0)</f>
        <v>Book And 2B Match</v>
      </c>
      <c r="X118" t="s">
        <v>485</v>
      </c>
      <c r="Y118" t="s">
        <v>485</v>
      </c>
    </row>
    <row r="119" spans="1:25" x14ac:dyDescent="0.3">
      <c r="A119" s="18" t="s">
        <v>79</v>
      </c>
      <c r="B119" s="18" t="s">
        <v>406</v>
      </c>
      <c r="C119" s="18"/>
      <c r="D119" s="18"/>
      <c r="E119" s="20">
        <f>SUMIF(Book!$G:$G,$B119,Book!J:J)</f>
        <v>5000</v>
      </c>
      <c r="F119" s="20">
        <f>SUMIF(Book!$G:$G,$B119,Book!L:L)</f>
        <v>0</v>
      </c>
      <c r="G119" s="20">
        <f>SUMIF(Book!$G:$G,$B119,Book!M:M)</f>
        <v>450</v>
      </c>
      <c r="H119" s="20">
        <f>SUMIF(Book!$G:$G,$B119,Book!N:N)</f>
        <v>450</v>
      </c>
      <c r="I119" s="20">
        <f>SUMIF(Book!$G:$G,$B119,Book!O:O)</f>
        <v>0</v>
      </c>
      <c r="J119" s="18"/>
      <c r="K119" s="20">
        <f>SUMIF('GSTR-2B'!$G:$G,$B119,'GSTR-2B'!J:J)</f>
        <v>5000</v>
      </c>
      <c r="L119" s="20">
        <f>SUMIF('GSTR-2B'!$G:$G,$B119,'GSTR-2B'!L:L)</f>
        <v>0</v>
      </c>
      <c r="M119" s="20">
        <f>SUMIF('GSTR-2B'!$G:$G,$B119,'GSTR-2B'!M:M)</f>
        <v>450</v>
      </c>
      <c r="N119" s="20">
        <f>SUMIF('GSTR-2B'!$G:$G,$B119,'GSTR-2B'!N:N)</f>
        <v>450</v>
      </c>
      <c r="O119" s="20">
        <f>SUMIF('GSTR-2B'!$G:$G,$B119,'GSTR-2B'!O:O)</f>
        <v>0</v>
      </c>
      <c r="P119" s="20"/>
      <c r="Q119" s="20">
        <f t="shared" si="12"/>
        <v>0</v>
      </c>
      <c r="R119" s="20">
        <f t="shared" si="13"/>
        <v>0</v>
      </c>
      <c r="S119" s="20">
        <f t="shared" si="14"/>
        <v>0</v>
      </c>
      <c r="T119" s="20">
        <f t="shared" si="15"/>
        <v>0</v>
      </c>
      <c r="U119" s="20">
        <f>SUMIF('GSTR-2B'!$G:$G,$B119,'GSTR-2B'!U:U)</f>
        <v>0</v>
      </c>
      <c r="V119" s="21"/>
      <c r="W119" s="22" t="str">
        <f>VLOOKUP(A119,'GST Wise Reco'!$A$3:$T$34,20,0)</f>
        <v>Book And 2B Match</v>
      </c>
      <c r="X119" t="s">
        <v>29</v>
      </c>
      <c r="Y119" t="s">
        <v>29</v>
      </c>
    </row>
    <row r="120" spans="1:25" x14ac:dyDescent="0.3">
      <c r="A120" s="18" t="s">
        <v>78</v>
      </c>
      <c r="B120" s="18" t="s">
        <v>405</v>
      </c>
      <c r="C120" s="18"/>
      <c r="D120" s="18"/>
      <c r="E120" s="20">
        <f>SUMIF(Book!$G:$G,$B120,Book!J:J)</f>
        <v>556.75</v>
      </c>
      <c r="F120" s="20">
        <f>SUMIF(Book!$G:$G,$B120,Book!L:L)</f>
        <v>0</v>
      </c>
      <c r="G120" s="20">
        <f>SUMIF(Book!$G:$G,$B120,Book!M:M)</f>
        <v>50.11</v>
      </c>
      <c r="H120" s="20">
        <f>SUMIF(Book!$G:$G,$B120,Book!N:N)</f>
        <v>50.11</v>
      </c>
      <c r="I120" s="20">
        <f>SUMIF(Book!$G:$G,$B120,Book!O:O)</f>
        <v>0</v>
      </c>
      <c r="J120" s="18"/>
      <c r="K120" s="20">
        <f>SUMIF('GSTR-2B'!$G:$G,$B120,'GSTR-2B'!J:J)</f>
        <v>0</v>
      </c>
      <c r="L120" s="20">
        <f>SUMIF('GSTR-2B'!$G:$G,$B120,'GSTR-2B'!L:L)</f>
        <v>0</v>
      </c>
      <c r="M120" s="20">
        <f>SUMIF('GSTR-2B'!$G:$G,$B120,'GSTR-2B'!M:M)</f>
        <v>0</v>
      </c>
      <c r="N120" s="20">
        <f>SUMIF('GSTR-2B'!$G:$G,$B120,'GSTR-2B'!N:N)</f>
        <v>0</v>
      </c>
      <c r="O120" s="20">
        <f>SUMIF('GSTR-2B'!$G:$G,$B120,'GSTR-2B'!O:O)</f>
        <v>0</v>
      </c>
      <c r="P120" s="20"/>
      <c r="Q120" s="20">
        <f t="shared" si="12"/>
        <v>556.75</v>
      </c>
      <c r="R120" s="20">
        <f t="shared" si="13"/>
        <v>0</v>
      </c>
      <c r="S120" s="20">
        <f t="shared" si="14"/>
        <v>50.11</v>
      </c>
      <c r="T120" s="20">
        <f t="shared" si="15"/>
        <v>50.11</v>
      </c>
      <c r="U120" s="20">
        <f>SUMIF('GSTR-2B'!$G:$G,$B120,'GSTR-2B'!U:U)</f>
        <v>0</v>
      </c>
      <c r="V120" s="21"/>
      <c r="W120" s="22" t="str">
        <f>VLOOKUP(A120,'GST Wise Reco'!$A$3:$T$34,20,0)</f>
        <v>Book And 2B Match</v>
      </c>
      <c r="X120" t="s">
        <v>482</v>
      </c>
      <c r="Y120" t="s">
        <v>482</v>
      </c>
    </row>
    <row r="121" spans="1:25" x14ac:dyDescent="0.3">
      <c r="A121" s="18" t="s">
        <v>78</v>
      </c>
      <c r="B121" s="18" t="s">
        <v>414</v>
      </c>
      <c r="C121" s="18"/>
      <c r="D121" s="18"/>
      <c r="E121" s="20">
        <f>SUMIF(Book!$G:$G,$B121,Book!J:J)</f>
        <v>4030.97</v>
      </c>
      <c r="F121" s="20">
        <f>SUMIF(Book!$G:$G,$B121,Book!L:L)</f>
        <v>0</v>
      </c>
      <c r="G121" s="20">
        <f>SUMIF(Book!$G:$G,$B121,Book!M:M)</f>
        <v>362.79</v>
      </c>
      <c r="H121" s="20">
        <f>SUMIF(Book!$G:$G,$B121,Book!N:N)</f>
        <v>362.79</v>
      </c>
      <c r="I121" s="20">
        <f>SUMIF(Book!$G:$G,$B121,Book!O:O)</f>
        <v>0</v>
      </c>
      <c r="J121" s="18"/>
      <c r="K121" s="20">
        <f>SUMIF('GSTR-2B'!$G:$G,$B121,'GSTR-2B'!J:J)</f>
        <v>0</v>
      </c>
      <c r="L121" s="20">
        <f>SUMIF('GSTR-2B'!$G:$G,$B121,'GSTR-2B'!L:L)</f>
        <v>0</v>
      </c>
      <c r="M121" s="20">
        <f>SUMIF('GSTR-2B'!$G:$G,$B121,'GSTR-2B'!M:M)</f>
        <v>0</v>
      </c>
      <c r="N121" s="20">
        <f>SUMIF('GSTR-2B'!$G:$G,$B121,'GSTR-2B'!N:N)</f>
        <v>0</v>
      </c>
      <c r="O121" s="20">
        <f>SUMIF('GSTR-2B'!$G:$G,$B121,'GSTR-2B'!O:O)</f>
        <v>0</v>
      </c>
      <c r="P121" s="20"/>
      <c r="Q121" s="20">
        <f t="shared" si="12"/>
        <v>4030.97</v>
      </c>
      <c r="R121" s="20">
        <f t="shared" si="13"/>
        <v>0</v>
      </c>
      <c r="S121" s="20">
        <f t="shared" si="14"/>
        <v>362.79</v>
      </c>
      <c r="T121" s="20">
        <f t="shared" si="15"/>
        <v>362.79</v>
      </c>
      <c r="U121" s="20">
        <f>SUMIF('GSTR-2B'!$G:$G,$B121,'GSTR-2B'!U:U)</f>
        <v>0</v>
      </c>
      <c r="V121" s="21"/>
      <c r="W121" s="22" t="str">
        <f>VLOOKUP(A121,'GST Wise Reco'!$A$3:$T$34,20,0)</f>
        <v>Book And 2B Match</v>
      </c>
      <c r="X121" t="s">
        <v>482</v>
      </c>
      <c r="Y121" t="s">
        <v>482</v>
      </c>
    </row>
    <row r="122" spans="1:25" x14ac:dyDescent="0.3">
      <c r="A122" s="18" t="s">
        <v>78</v>
      </c>
      <c r="B122" s="18" t="s">
        <v>415</v>
      </c>
      <c r="C122" s="18"/>
      <c r="D122" s="18"/>
      <c r="E122" s="20">
        <f>SUMIF(Book!$G:$G,$B122,Book!J:J)</f>
        <v>407.81</v>
      </c>
      <c r="F122" s="20">
        <f>SUMIF(Book!$G:$G,$B122,Book!L:L)</f>
        <v>0</v>
      </c>
      <c r="G122" s="20">
        <f>SUMIF(Book!$G:$G,$B122,Book!M:M)</f>
        <v>36.700000000000003</v>
      </c>
      <c r="H122" s="20">
        <f>SUMIF(Book!$G:$G,$B122,Book!N:N)</f>
        <v>36.700000000000003</v>
      </c>
      <c r="I122" s="20">
        <f>SUMIF(Book!$G:$G,$B122,Book!O:O)</f>
        <v>0</v>
      </c>
      <c r="J122" s="18"/>
      <c r="K122" s="20">
        <f>SUMIF('GSTR-2B'!$G:$G,$B122,'GSTR-2B'!J:J)</f>
        <v>0</v>
      </c>
      <c r="L122" s="20">
        <f>SUMIF('GSTR-2B'!$G:$G,$B122,'GSTR-2B'!L:L)</f>
        <v>0</v>
      </c>
      <c r="M122" s="20">
        <f>SUMIF('GSTR-2B'!$G:$G,$B122,'GSTR-2B'!M:M)</f>
        <v>0</v>
      </c>
      <c r="N122" s="20">
        <f>SUMIF('GSTR-2B'!$G:$G,$B122,'GSTR-2B'!N:N)</f>
        <v>0</v>
      </c>
      <c r="O122" s="20">
        <f>SUMIF('GSTR-2B'!$G:$G,$B122,'GSTR-2B'!O:O)</f>
        <v>0</v>
      </c>
      <c r="P122" s="20"/>
      <c r="Q122" s="20">
        <f t="shared" si="12"/>
        <v>407.81</v>
      </c>
      <c r="R122" s="20">
        <f t="shared" si="13"/>
        <v>0</v>
      </c>
      <c r="S122" s="20">
        <f t="shared" si="14"/>
        <v>36.700000000000003</v>
      </c>
      <c r="T122" s="20">
        <f t="shared" si="15"/>
        <v>36.700000000000003</v>
      </c>
      <c r="U122" s="20">
        <f>SUMIF('GSTR-2B'!$G:$G,$B122,'GSTR-2B'!U:U)</f>
        <v>0</v>
      </c>
      <c r="V122" s="21"/>
      <c r="W122" s="22" t="str">
        <f>VLOOKUP(A122,'GST Wise Reco'!$A$3:$T$34,20,0)</f>
        <v>Book And 2B Match</v>
      </c>
      <c r="X122" t="s">
        <v>482</v>
      </c>
      <c r="Y122" t="s">
        <v>482</v>
      </c>
    </row>
    <row r="123" spans="1:25" x14ac:dyDescent="0.3">
      <c r="A123" s="18" t="s">
        <v>78</v>
      </c>
      <c r="B123" s="18" t="s">
        <v>423</v>
      </c>
      <c r="C123" s="18"/>
      <c r="D123" s="18"/>
      <c r="E123" s="20">
        <f>SUMIF(Book!$G:$G,$B123,Book!J:J)</f>
        <v>270.51</v>
      </c>
      <c r="F123" s="20">
        <f>SUMIF(Book!$G:$G,$B123,Book!L:L)</f>
        <v>0</v>
      </c>
      <c r="G123" s="20">
        <f>SUMIF(Book!$G:$G,$B123,Book!M:M)</f>
        <v>24.35</v>
      </c>
      <c r="H123" s="20">
        <f>SUMIF(Book!$G:$G,$B123,Book!N:N)</f>
        <v>24.35</v>
      </c>
      <c r="I123" s="20">
        <f>SUMIF(Book!$G:$G,$B123,Book!O:O)</f>
        <v>0</v>
      </c>
      <c r="J123" s="18"/>
      <c r="K123" s="20">
        <f>SUMIF('GSTR-2B'!$G:$G,$B123,'GSTR-2B'!J:J)</f>
        <v>0</v>
      </c>
      <c r="L123" s="20">
        <f>SUMIF('GSTR-2B'!$G:$G,$B123,'GSTR-2B'!L:L)</f>
        <v>0</v>
      </c>
      <c r="M123" s="20">
        <f>SUMIF('GSTR-2B'!$G:$G,$B123,'GSTR-2B'!M:M)</f>
        <v>0</v>
      </c>
      <c r="N123" s="20">
        <f>SUMIF('GSTR-2B'!$G:$G,$B123,'GSTR-2B'!N:N)</f>
        <v>0</v>
      </c>
      <c r="O123" s="20">
        <f>SUMIF('GSTR-2B'!$G:$G,$B123,'GSTR-2B'!O:O)</f>
        <v>0</v>
      </c>
      <c r="P123" s="20"/>
      <c r="Q123" s="20">
        <f t="shared" si="12"/>
        <v>270.51</v>
      </c>
      <c r="R123" s="20">
        <f t="shared" si="13"/>
        <v>0</v>
      </c>
      <c r="S123" s="20">
        <f t="shared" si="14"/>
        <v>24.35</v>
      </c>
      <c r="T123" s="20">
        <f t="shared" si="15"/>
        <v>24.35</v>
      </c>
      <c r="U123" s="20">
        <f>SUMIF('GSTR-2B'!$G:$G,$B123,'GSTR-2B'!U:U)</f>
        <v>0</v>
      </c>
      <c r="V123" s="21"/>
      <c r="W123" s="22" t="str">
        <f>VLOOKUP(A123,'GST Wise Reco'!$A$3:$T$34,20,0)</f>
        <v>Book And 2B Match</v>
      </c>
      <c r="X123" t="s">
        <v>482</v>
      </c>
      <c r="Y123" t="s">
        <v>482</v>
      </c>
    </row>
    <row r="124" spans="1:25" x14ac:dyDescent="0.3">
      <c r="A124" s="18" t="s">
        <v>78</v>
      </c>
      <c r="B124" s="18" t="s">
        <v>450</v>
      </c>
      <c r="C124" s="18"/>
      <c r="D124" s="18"/>
      <c r="E124" s="20">
        <f>SUMIF(Book!$G:$G,$B124,Book!J:J)</f>
        <v>0</v>
      </c>
      <c r="F124" s="20">
        <f>SUMIF(Book!$G:$G,$B124,Book!L:L)</f>
        <v>0</v>
      </c>
      <c r="G124" s="20">
        <f>SUMIF(Book!$G:$G,$B124,Book!M:M)</f>
        <v>0</v>
      </c>
      <c r="H124" s="20">
        <f>SUMIF(Book!$G:$G,$B124,Book!N:N)</f>
        <v>0</v>
      </c>
      <c r="I124" s="20">
        <f>SUMIF(Book!$G:$G,$B124,Book!O:O)</f>
        <v>0</v>
      </c>
      <c r="J124" s="18"/>
      <c r="K124" s="20">
        <f>SUMIF('GSTR-2B'!$G:$G,$B124,'GSTR-2B'!J:J)</f>
        <v>556.75</v>
      </c>
      <c r="L124" s="20">
        <f>SUMIF('GSTR-2B'!$G:$G,$B124,'GSTR-2B'!L:L)</f>
        <v>0</v>
      </c>
      <c r="M124" s="20">
        <f>SUMIF('GSTR-2B'!$G:$G,$B124,'GSTR-2B'!M:M)</f>
        <v>50.11</v>
      </c>
      <c r="N124" s="20">
        <f>SUMIF('GSTR-2B'!$G:$G,$B124,'GSTR-2B'!N:N)</f>
        <v>50.11</v>
      </c>
      <c r="O124" s="20">
        <f>SUMIF('GSTR-2B'!$G:$G,$B124,'GSTR-2B'!O:O)</f>
        <v>0</v>
      </c>
      <c r="P124" s="20"/>
      <c r="Q124" s="20">
        <f t="shared" si="12"/>
        <v>-556.75</v>
      </c>
      <c r="R124" s="20">
        <f t="shared" si="13"/>
        <v>0</v>
      </c>
      <c r="S124" s="20">
        <f t="shared" si="14"/>
        <v>-50.11</v>
      </c>
      <c r="T124" s="20">
        <f t="shared" si="15"/>
        <v>-50.11</v>
      </c>
      <c r="U124" s="20">
        <f>SUMIF('GSTR-2B'!$G:$G,$B124,'GSTR-2B'!U:U)</f>
        <v>0</v>
      </c>
      <c r="V124" s="21"/>
      <c r="W124" s="22" t="str">
        <f>VLOOKUP(A124,'GST Wise Reco'!$A$3:$T$34,20,0)</f>
        <v>Book And 2B Match</v>
      </c>
      <c r="X124" t="s">
        <v>482</v>
      </c>
      <c r="Y124" t="s">
        <v>482</v>
      </c>
    </row>
    <row r="125" spans="1:25" x14ac:dyDescent="0.3">
      <c r="A125" s="18" t="s">
        <v>78</v>
      </c>
      <c r="B125" s="18" t="s">
        <v>451</v>
      </c>
      <c r="C125" s="18"/>
      <c r="D125" s="18"/>
      <c r="E125" s="20">
        <f>SUMIF(Book!$G:$G,$B125,Book!J:J)</f>
        <v>0</v>
      </c>
      <c r="F125" s="20">
        <f>SUMIF(Book!$G:$G,$B125,Book!L:L)</f>
        <v>0</v>
      </c>
      <c r="G125" s="20">
        <f>SUMIF(Book!$G:$G,$B125,Book!M:M)</f>
        <v>0</v>
      </c>
      <c r="H125" s="20">
        <f>SUMIF(Book!$G:$G,$B125,Book!N:N)</f>
        <v>0</v>
      </c>
      <c r="I125" s="20">
        <f>SUMIF(Book!$G:$G,$B125,Book!O:O)</f>
        <v>0</v>
      </c>
      <c r="J125" s="18"/>
      <c r="K125" s="20">
        <f>SUMIF('GSTR-2B'!$G:$G,$B125,'GSTR-2B'!J:J)</f>
        <v>407.81</v>
      </c>
      <c r="L125" s="20">
        <f>SUMIF('GSTR-2B'!$G:$G,$B125,'GSTR-2B'!L:L)</f>
        <v>0</v>
      </c>
      <c r="M125" s="20">
        <f>SUMIF('GSTR-2B'!$G:$G,$B125,'GSTR-2B'!M:M)</f>
        <v>36.700000000000003</v>
      </c>
      <c r="N125" s="20">
        <f>SUMIF('GSTR-2B'!$G:$G,$B125,'GSTR-2B'!N:N)</f>
        <v>36.700000000000003</v>
      </c>
      <c r="O125" s="20">
        <f>SUMIF('GSTR-2B'!$G:$G,$B125,'GSTR-2B'!O:O)</f>
        <v>0</v>
      </c>
      <c r="P125" s="20"/>
      <c r="Q125" s="20">
        <f t="shared" si="12"/>
        <v>-407.81</v>
      </c>
      <c r="R125" s="20">
        <f t="shared" si="13"/>
        <v>0</v>
      </c>
      <c r="S125" s="20">
        <f t="shared" si="14"/>
        <v>-36.700000000000003</v>
      </c>
      <c r="T125" s="20">
        <f t="shared" si="15"/>
        <v>-36.700000000000003</v>
      </c>
      <c r="U125" s="20">
        <f>SUMIF('GSTR-2B'!$G:$G,$B125,'GSTR-2B'!U:U)</f>
        <v>0</v>
      </c>
      <c r="V125" s="21"/>
      <c r="W125" s="22" t="str">
        <f>VLOOKUP(A125,'GST Wise Reco'!$A$3:$T$34,20,0)</f>
        <v>Book And 2B Match</v>
      </c>
      <c r="X125" t="s">
        <v>482</v>
      </c>
      <c r="Y125" t="s">
        <v>482</v>
      </c>
    </row>
    <row r="126" spans="1:25" x14ac:dyDescent="0.3">
      <c r="A126" s="18" t="s">
        <v>78</v>
      </c>
      <c r="B126" s="18" t="s">
        <v>452</v>
      </c>
      <c r="C126" s="18"/>
      <c r="D126" s="18"/>
      <c r="E126" s="20">
        <f>SUMIF(Book!$G:$G,$B126,Book!J:J)</f>
        <v>0</v>
      </c>
      <c r="F126" s="20">
        <f>SUMIF(Book!$G:$G,$B126,Book!L:L)</f>
        <v>0</v>
      </c>
      <c r="G126" s="20">
        <f>SUMIF(Book!$G:$G,$B126,Book!M:M)</f>
        <v>0</v>
      </c>
      <c r="H126" s="20">
        <f>SUMIF(Book!$G:$G,$B126,Book!N:N)</f>
        <v>0</v>
      </c>
      <c r="I126" s="20">
        <f>SUMIF(Book!$G:$G,$B126,Book!O:O)</f>
        <v>0</v>
      </c>
      <c r="J126" s="18"/>
      <c r="K126" s="20">
        <f>SUMIF('GSTR-2B'!$G:$G,$B126,'GSTR-2B'!J:J)</f>
        <v>4030.97</v>
      </c>
      <c r="L126" s="20">
        <f>SUMIF('GSTR-2B'!$G:$G,$B126,'GSTR-2B'!L:L)</f>
        <v>0</v>
      </c>
      <c r="M126" s="20">
        <f>SUMIF('GSTR-2B'!$G:$G,$B126,'GSTR-2B'!M:M)</f>
        <v>362.79</v>
      </c>
      <c r="N126" s="20">
        <f>SUMIF('GSTR-2B'!$G:$G,$B126,'GSTR-2B'!N:N)</f>
        <v>362.79</v>
      </c>
      <c r="O126" s="20">
        <f>SUMIF('GSTR-2B'!$G:$G,$B126,'GSTR-2B'!O:O)</f>
        <v>0</v>
      </c>
      <c r="P126" s="20"/>
      <c r="Q126" s="20">
        <f t="shared" si="12"/>
        <v>-4030.97</v>
      </c>
      <c r="R126" s="20">
        <f t="shared" si="13"/>
        <v>0</v>
      </c>
      <c r="S126" s="20">
        <f t="shared" si="14"/>
        <v>-362.79</v>
      </c>
      <c r="T126" s="20">
        <f t="shared" si="15"/>
        <v>-362.79</v>
      </c>
      <c r="U126" s="20">
        <f>SUMIF('GSTR-2B'!$G:$G,$B126,'GSTR-2B'!U:U)</f>
        <v>0</v>
      </c>
      <c r="V126" s="21"/>
      <c r="W126" s="22" t="str">
        <f>VLOOKUP(A126,'GST Wise Reco'!$A$3:$T$34,20,0)</f>
        <v>Book And 2B Match</v>
      </c>
      <c r="X126" t="s">
        <v>482</v>
      </c>
      <c r="Y126" t="s">
        <v>482</v>
      </c>
    </row>
    <row r="127" spans="1:25" x14ac:dyDescent="0.3">
      <c r="A127" s="18" t="s">
        <v>78</v>
      </c>
      <c r="B127" s="18" t="s">
        <v>453</v>
      </c>
      <c r="C127" s="18"/>
      <c r="D127" s="18"/>
      <c r="E127" s="20">
        <f>SUMIF(Book!$G:$G,$B127,Book!J:J)</f>
        <v>0</v>
      </c>
      <c r="F127" s="20">
        <f>SUMIF(Book!$G:$G,$B127,Book!L:L)</f>
        <v>0</v>
      </c>
      <c r="G127" s="20">
        <f>SUMIF(Book!$G:$G,$B127,Book!M:M)</f>
        <v>0</v>
      </c>
      <c r="H127" s="20">
        <f>SUMIF(Book!$G:$G,$B127,Book!N:N)</f>
        <v>0</v>
      </c>
      <c r="I127" s="20">
        <f>SUMIF(Book!$G:$G,$B127,Book!O:O)</f>
        <v>0</v>
      </c>
      <c r="J127" s="18"/>
      <c r="K127" s="20">
        <f>SUMIF('GSTR-2B'!$G:$G,$B127,'GSTR-2B'!J:J)</f>
        <v>270.51</v>
      </c>
      <c r="L127" s="20">
        <f>SUMIF('GSTR-2B'!$G:$G,$B127,'GSTR-2B'!L:L)</f>
        <v>0</v>
      </c>
      <c r="M127" s="20">
        <f>SUMIF('GSTR-2B'!$G:$G,$B127,'GSTR-2B'!M:M)</f>
        <v>24.35</v>
      </c>
      <c r="N127" s="20">
        <f>SUMIF('GSTR-2B'!$G:$G,$B127,'GSTR-2B'!N:N)</f>
        <v>24.35</v>
      </c>
      <c r="O127" s="20">
        <f>SUMIF('GSTR-2B'!$G:$G,$B127,'GSTR-2B'!O:O)</f>
        <v>0</v>
      </c>
      <c r="P127" s="20"/>
      <c r="Q127" s="20">
        <f t="shared" si="12"/>
        <v>-270.51</v>
      </c>
      <c r="R127" s="20">
        <f t="shared" si="13"/>
        <v>0</v>
      </c>
      <c r="S127" s="20">
        <f t="shared" si="14"/>
        <v>-24.35</v>
      </c>
      <c r="T127" s="20">
        <f t="shared" si="15"/>
        <v>-24.35</v>
      </c>
      <c r="U127" s="20">
        <f>SUMIF('GSTR-2B'!$G:$G,$B127,'GSTR-2B'!U:U)</f>
        <v>0</v>
      </c>
      <c r="V127" s="21"/>
      <c r="W127" s="22" t="str">
        <f>VLOOKUP(A127,'GST Wise Reco'!$A$3:$T$34,20,0)</f>
        <v>Book And 2B Match</v>
      </c>
      <c r="X127" t="s">
        <v>482</v>
      </c>
      <c r="Y127" t="s">
        <v>482</v>
      </c>
    </row>
    <row r="128" spans="1:25" x14ac:dyDescent="0.3">
      <c r="A128" s="18" t="s">
        <v>87</v>
      </c>
      <c r="B128" s="18" t="s">
        <v>446</v>
      </c>
      <c r="C128" s="18"/>
      <c r="D128" s="18"/>
      <c r="E128" s="20">
        <f>SUMIF(Book!$G:$G,$B128,Book!J:J)</f>
        <v>35695</v>
      </c>
      <c r="F128" s="20">
        <f>SUMIF(Book!$G:$G,$B128,Book!L:L)</f>
        <v>0</v>
      </c>
      <c r="G128" s="20">
        <f>SUMIF(Book!$G:$G,$B128,Book!M:M)</f>
        <v>3212.55</v>
      </c>
      <c r="H128" s="20">
        <f>SUMIF(Book!$G:$G,$B128,Book!N:N)</f>
        <v>3212.55</v>
      </c>
      <c r="I128" s="20">
        <f>SUMIF(Book!$G:$G,$B128,Book!O:O)</f>
        <v>0</v>
      </c>
      <c r="J128" s="18"/>
      <c r="K128" s="20">
        <f>SUMIF('GSTR-2B'!$G:$G,$B128,'GSTR-2B'!J:J)</f>
        <v>35695</v>
      </c>
      <c r="L128" s="20">
        <f>SUMIF('GSTR-2B'!$G:$G,$B128,'GSTR-2B'!L:L)</f>
        <v>0</v>
      </c>
      <c r="M128" s="20">
        <f>SUMIF('GSTR-2B'!$G:$G,$B128,'GSTR-2B'!M:M)</f>
        <v>3212.55</v>
      </c>
      <c r="N128" s="20">
        <f>SUMIF('GSTR-2B'!$G:$G,$B128,'GSTR-2B'!N:N)</f>
        <v>3212.55</v>
      </c>
      <c r="O128" s="20">
        <f>SUMIF('GSTR-2B'!$G:$G,$B128,'GSTR-2B'!O:O)</f>
        <v>0</v>
      </c>
      <c r="P128" s="20"/>
      <c r="Q128" s="20">
        <f t="shared" si="12"/>
        <v>0</v>
      </c>
      <c r="R128" s="20">
        <f t="shared" si="13"/>
        <v>0</v>
      </c>
      <c r="S128" s="20">
        <f t="shared" si="14"/>
        <v>0</v>
      </c>
      <c r="T128" s="20">
        <f t="shared" si="15"/>
        <v>0</v>
      </c>
      <c r="U128" s="20">
        <f>SUMIF('GSTR-2B'!$G:$G,$B128,'GSTR-2B'!U:U)</f>
        <v>0</v>
      </c>
      <c r="V128" s="21"/>
      <c r="W128" s="22" t="str">
        <f>VLOOKUP(A128,'GST Wise Reco'!$A$3:$T$34,20,0)</f>
        <v>Book And 2B Match</v>
      </c>
      <c r="X128" t="s">
        <v>29</v>
      </c>
      <c r="Y128" t="s">
        <v>29</v>
      </c>
    </row>
    <row r="129" spans="1:25" x14ac:dyDescent="0.3">
      <c r="A129" s="18" t="s">
        <v>63</v>
      </c>
      <c r="B129" s="18" t="s">
        <v>302</v>
      </c>
      <c r="C129" s="18"/>
      <c r="D129" s="18"/>
      <c r="E129" s="20">
        <f>SUMIF(Book!$G:$G,$B129,Book!J:J)</f>
        <v>114616.88</v>
      </c>
      <c r="F129" s="20">
        <f>SUMIF(Book!$G:$G,$B129,Book!L:L)</f>
        <v>0</v>
      </c>
      <c r="G129" s="20">
        <f>SUMIF(Book!$G:$G,$B129,Book!M:M)</f>
        <v>10315.52</v>
      </c>
      <c r="H129" s="20">
        <f>SUMIF(Book!$G:$G,$B129,Book!N:N)</f>
        <v>10315.52</v>
      </c>
      <c r="I129" s="20">
        <f>SUMIF(Book!$G:$G,$B129,Book!O:O)</f>
        <v>0</v>
      </c>
      <c r="J129" s="18"/>
      <c r="K129" s="20">
        <f>SUMIF('GSTR-2B'!$G:$G,$B129,'GSTR-2B'!J:J)</f>
        <v>0</v>
      </c>
      <c r="L129" s="20">
        <f>SUMIF('GSTR-2B'!$G:$G,$B129,'GSTR-2B'!L:L)</f>
        <v>0</v>
      </c>
      <c r="M129" s="20">
        <f>SUMIF('GSTR-2B'!$G:$G,$B129,'GSTR-2B'!M:M)</f>
        <v>0</v>
      </c>
      <c r="N129" s="20">
        <f>SUMIF('GSTR-2B'!$G:$G,$B129,'GSTR-2B'!N:N)</f>
        <v>0</v>
      </c>
      <c r="O129" s="20">
        <f>SUMIF('GSTR-2B'!$G:$G,$B129,'GSTR-2B'!O:O)</f>
        <v>0</v>
      </c>
      <c r="P129" s="20"/>
      <c r="Q129" s="20">
        <f t="shared" si="12"/>
        <v>114616.88</v>
      </c>
      <c r="R129" s="20">
        <f t="shared" si="13"/>
        <v>0</v>
      </c>
      <c r="S129" s="20">
        <f t="shared" si="14"/>
        <v>10315.52</v>
      </c>
      <c r="T129" s="20">
        <f t="shared" si="15"/>
        <v>10315.52</v>
      </c>
      <c r="U129" s="20">
        <f>SUMIF('GSTR-2B'!$G:$G,$B129,'GSTR-2B'!U:U)</f>
        <v>0</v>
      </c>
      <c r="V129" s="21"/>
      <c r="W129" s="22" t="str">
        <f>VLOOKUP(A129,'GST Wise Reco'!$A$3:$T$34,20,0)</f>
        <v>Book And 2B Match</v>
      </c>
      <c r="X129" t="s">
        <v>482</v>
      </c>
      <c r="Y129" t="s">
        <v>29</v>
      </c>
    </row>
    <row r="130" spans="1:25" x14ac:dyDescent="0.3">
      <c r="A130" s="18" t="s">
        <v>63</v>
      </c>
      <c r="B130" s="18" t="s">
        <v>309</v>
      </c>
      <c r="C130" s="18"/>
      <c r="D130" s="18"/>
      <c r="E130" s="20">
        <f>SUMIF(Book!$G:$G,$B130,Book!J:J)</f>
        <v>1198.94</v>
      </c>
      <c r="F130" s="20">
        <f>SUMIF(Book!$G:$G,$B130,Book!L:L)</f>
        <v>0</v>
      </c>
      <c r="G130" s="20">
        <f>SUMIF(Book!$G:$G,$B130,Book!M:M)</f>
        <v>107.9</v>
      </c>
      <c r="H130" s="20">
        <f>SUMIF(Book!$G:$G,$B130,Book!N:N)</f>
        <v>107.9</v>
      </c>
      <c r="I130" s="20">
        <f>SUMIF(Book!$G:$G,$B130,Book!O:O)</f>
        <v>0</v>
      </c>
      <c r="J130" s="18"/>
      <c r="K130" s="20">
        <f>SUMIF('GSTR-2B'!$G:$G,$B130,'GSTR-2B'!J:J)</f>
        <v>0</v>
      </c>
      <c r="L130" s="20">
        <f>SUMIF('GSTR-2B'!$G:$G,$B130,'GSTR-2B'!L:L)</f>
        <v>0</v>
      </c>
      <c r="M130" s="20">
        <f>SUMIF('GSTR-2B'!$G:$G,$B130,'GSTR-2B'!M:M)</f>
        <v>0</v>
      </c>
      <c r="N130" s="20">
        <f>SUMIF('GSTR-2B'!$G:$G,$B130,'GSTR-2B'!N:N)</f>
        <v>0</v>
      </c>
      <c r="O130" s="20">
        <f>SUMIF('GSTR-2B'!$G:$G,$B130,'GSTR-2B'!O:O)</f>
        <v>0</v>
      </c>
      <c r="P130" s="20"/>
      <c r="Q130" s="20">
        <f t="shared" si="12"/>
        <v>1198.94</v>
      </c>
      <c r="R130" s="20">
        <f t="shared" si="13"/>
        <v>0</v>
      </c>
      <c r="S130" s="20">
        <f t="shared" si="14"/>
        <v>107.9</v>
      </c>
      <c r="T130" s="20">
        <f t="shared" si="15"/>
        <v>107.9</v>
      </c>
      <c r="U130" s="20">
        <f>SUMIF('GSTR-2B'!$G:$G,$B130,'GSTR-2B'!U:U)</f>
        <v>0</v>
      </c>
      <c r="V130" s="21"/>
      <c r="W130" s="22" t="str">
        <f>VLOOKUP(A130,'GST Wise Reco'!$A$3:$T$34,20,0)</f>
        <v>Book And 2B Match</v>
      </c>
      <c r="X130" t="s">
        <v>482</v>
      </c>
      <c r="Y130" t="s">
        <v>29</v>
      </c>
    </row>
    <row r="131" spans="1:25" x14ac:dyDescent="0.3">
      <c r="A131" s="18" t="s">
        <v>63</v>
      </c>
      <c r="B131" s="18" t="s">
        <v>317</v>
      </c>
      <c r="C131" s="18"/>
      <c r="D131" s="18"/>
      <c r="E131" s="20">
        <f>SUMIF(Book!$G:$G,$B131,Book!J:J)</f>
        <v>1733.09</v>
      </c>
      <c r="F131" s="20">
        <f>SUMIF(Book!$G:$G,$B131,Book!L:L)</f>
        <v>0</v>
      </c>
      <c r="G131" s="20">
        <f>SUMIF(Book!$G:$G,$B131,Book!M:M)</f>
        <v>155.97999999999999</v>
      </c>
      <c r="H131" s="20">
        <f>SUMIF(Book!$G:$G,$B131,Book!N:N)</f>
        <v>155.97999999999999</v>
      </c>
      <c r="I131" s="20">
        <f>SUMIF(Book!$G:$G,$B131,Book!O:O)</f>
        <v>0</v>
      </c>
      <c r="J131" s="18"/>
      <c r="K131" s="20">
        <f>SUMIF('GSTR-2B'!$G:$G,$B131,'GSTR-2B'!J:J)</f>
        <v>1733.09</v>
      </c>
      <c r="L131" s="20">
        <f>SUMIF('GSTR-2B'!$G:$G,$B131,'GSTR-2B'!L:L)</f>
        <v>0</v>
      </c>
      <c r="M131" s="20">
        <f>SUMIF('GSTR-2B'!$G:$G,$B131,'GSTR-2B'!M:M)</f>
        <v>155.97999999999999</v>
      </c>
      <c r="N131" s="20">
        <f>SUMIF('GSTR-2B'!$G:$G,$B131,'GSTR-2B'!N:N)</f>
        <v>155.97999999999999</v>
      </c>
      <c r="O131" s="20">
        <f>SUMIF('GSTR-2B'!$G:$G,$B131,'GSTR-2B'!O:O)</f>
        <v>0</v>
      </c>
      <c r="P131" s="20"/>
      <c r="Q131" s="20">
        <f t="shared" si="12"/>
        <v>0</v>
      </c>
      <c r="R131" s="20">
        <f t="shared" si="13"/>
        <v>0</v>
      </c>
      <c r="S131" s="20">
        <f t="shared" si="14"/>
        <v>0</v>
      </c>
      <c r="T131" s="20">
        <f t="shared" si="15"/>
        <v>0</v>
      </c>
      <c r="U131" s="20">
        <f>SUMIF('GSTR-2B'!$G:$G,$B131,'GSTR-2B'!U:U)</f>
        <v>0</v>
      </c>
      <c r="V131" s="21"/>
      <c r="W131" s="22" t="str">
        <f>VLOOKUP(A131,'GST Wise Reco'!$A$3:$T$34,20,0)</f>
        <v>Book And 2B Match</v>
      </c>
      <c r="X131" t="s">
        <v>29</v>
      </c>
      <c r="Y131" t="s">
        <v>29</v>
      </c>
    </row>
    <row r="132" spans="1:25" x14ac:dyDescent="0.3">
      <c r="A132" s="18" t="s">
        <v>63</v>
      </c>
      <c r="B132" s="18" t="s">
        <v>324</v>
      </c>
      <c r="C132" s="18"/>
      <c r="D132" s="18"/>
      <c r="E132" s="20">
        <f>SUMIF(Book!$G:$G,$B132,Book!J:J)</f>
        <v>2462.37</v>
      </c>
      <c r="F132" s="20">
        <f>SUMIF(Book!$G:$G,$B132,Book!L:L)</f>
        <v>0</v>
      </c>
      <c r="G132" s="20">
        <f>SUMIF(Book!$G:$G,$B132,Book!M:M)</f>
        <v>221.61</v>
      </c>
      <c r="H132" s="20">
        <f>SUMIF(Book!$G:$G,$B132,Book!N:N)</f>
        <v>221.61</v>
      </c>
      <c r="I132" s="20">
        <f>SUMIF(Book!$G:$G,$B132,Book!O:O)</f>
        <v>0</v>
      </c>
      <c r="J132" s="18"/>
      <c r="K132" s="20">
        <f>SUMIF('GSTR-2B'!$G:$G,$B132,'GSTR-2B'!J:J)</f>
        <v>2462.37</v>
      </c>
      <c r="L132" s="20">
        <f>SUMIF('GSTR-2B'!$G:$G,$B132,'GSTR-2B'!L:L)</f>
        <v>0</v>
      </c>
      <c r="M132" s="20">
        <f>SUMIF('GSTR-2B'!$G:$G,$B132,'GSTR-2B'!M:M)</f>
        <v>221.61</v>
      </c>
      <c r="N132" s="20">
        <f>SUMIF('GSTR-2B'!$G:$G,$B132,'GSTR-2B'!N:N)</f>
        <v>221.61</v>
      </c>
      <c r="O132" s="20">
        <f>SUMIF('GSTR-2B'!$G:$G,$B132,'GSTR-2B'!O:O)</f>
        <v>0</v>
      </c>
      <c r="P132" s="20"/>
      <c r="Q132" s="20">
        <f t="shared" si="12"/>
        <v>0</v>
      </c>
      <c r="R132" s="20">
        <f t="shared" si="13"/>
        <v>0</v>
      </c>
      <c r="S132" s="20">
        <f t="shared" si="14"/>
        <v>0</v>
      </c>
      <c r="T132" s="20">
        <f t="shared" si="15"/>
        <v>0</v>
      </c>
      <c r="U132" s="20">
        <f>SUMIF('GSTR-2B'!$G:$G,$B132,'GSTR-2B'!U:U)</f>
        <v>0</v>
      </c>
      <c r="V132" s="21"/>
      <c r="W132" s="22" t="str">
        <f>VLOOKUP(A132,'GST Wise Reco'!$A$3:$T$34,20,0)</f>
        <v>Book And 2B Match</v>
      </c>
      <c r="X132" t="s">
        <v>29</v>
      </c>
      <c r="Y132" t="s">
        <v>29</v>
      </c>
    </row>
    <row r="133" spans="1:25" x14ac:dyDescent="0.3">
      <c r="A133" s="18" t="s">
        <v>63</v>
      </c>
      <c r="B133" s="18" t="s">
        <v>341</v>
      </c>
      <c r="C133" s="18"/>
      <c r="D133" s="18"/>
      <c r="E133" s="20">
        <f>SUMIF(Book!$G:$G,$B133,Book!J:J)</f>
        <v>24.22</v>
      </c>
      <c r="F133" s="20">
        <f>SUMIF(Book!$G:$G,$B133,Book!L:L)</f>
        <v>0</v>
      </c>
      <c r="G133" s="20">
        <f>SUMIF(Book!$G:$G,$B133,Book!M:M)</f>
        <v>2.1800000000000002</v>
      </c>
      <c r="H133" s="20">
        <f>SUMIF(Book!$G:$G,$B133,Book!N:N)</f>
        <v>2.1800000000000002</v>
      </c>
      <c r="I133" s="20">
        <f>SUMIF(Book!$G:$G,$B133,Book!O:O)</f>
        <v>0</v>
      </c>
      <c r="J133" s="18"/>
      <c r="K133" s="20">
        <f>SUMIF('GSTR-2B'!$G:$G,$B133,'GSTR-2B'!J:J)</f>
        <v>24.22</v>
      </c>
      <c r="L133" s="20">
        <f>SUMIF('GSTR-2B'!$G:$G,$B133,'GSTR-2B'!L:L)</f>
        <v>0</v>
      </c>
      <c r="M133" s="20">
        <f>SUMIF('GSTR-2B'!$G:$G,$B133,'GSTR-2B'!M:M)</f>
        <v>2.1800000000000002</v>
      </c>
      <c r="N133" s="20">
        <f>SUMIF('GSTR-2B'!$G:$G,$B133,'GSTR-2B'!N:N)</f>
        <v>2.1800000000000002</v>
      </c>
      <c r="O133" s="20">
        <f>SUMIF('GSTR-2B'!$G:$G,$B133,'GSTR-2B'!O:O)</f>
        <v>0</v>
      </c>
      <c r="P133" s="20"/>
      <c r="Q133" s="20">
        <f t="shared" ref="Q133:Q164" si="16">+E133-K133</f>
        <v>0</v>
      </c>
      <c r="R133" s="20">
        <f t="shared" ref="R133:R164" si="17">+F133-L133</f>
        <v>0</v>
      </c>
      <c r="S133" s="20">
        <f t="shared" ref="S133:S164" si="18">+G133-M133</f>
        <v>0</v>
      </c>
      <c r="T133" s="20">
        <f t="shared" ref="T133:T164" si="19">+H133-N133</f>
        <v>0</v>
      </c>
      <c r="U133" s="20">
        <f>SUMIF('GSTR-2B'!$G:$G,$B133,'GSTR-2B'!U:U)</f>
        <v>0</v>
      </c>
      <c r="V133" s="21"/>
      <c r="W133" s="22" t="str">
        <f>VLOOKUP(A133,'GST Wise Reco'!$A$3:$T$34,20,0)</f>
        <v>Book And 2B Match</v>
      </c>
      <c r="X133" t="s">
        <v>29</v>
      </c>
      <c r="Y133" t="s">
        <v>29</v>
      </c>
    </row>
    <row r="134" spans="1:25" x14ac:dyDescent="0.3">
      <c r="A134" s="18" t="s">
        <v>63</v>
      </c>
      <c r="B134" s="18" t="s">
        <v>347</v>
      </c>
      <c r="C134" s="18"/>
      <c r="D134" s="18"/>
      <c r="E134" s="20">
        <f>SUMIF(Book!$G:$G,$B134,Book!J:J)</f>
        <v>51.2</v>
      </c>
      <c r="F134" s="20">
        <f>SUMIF(Book!$G:$G,$B134,Book!L:L)</f>
        <v>0</v>
      </c>
      <c r="G134" s="20">
        <f>SUMIF(Book!$G:$G,$B134,Book!M:M)</f>
        <v>4.6100000000000003</v>
      </c>
      <c r="H134" s="20">
        <f>SUMIF(Book!$G:$G,$B134,Book!N:N)</f>
        <v>4.6100000000000003</v>
      </c>
      <c r="I134" s="20">
        <f>SUMIF(Book!$G:$G,$B134,Book!O:O)</f>
        <v>0</v>
      </c>
      <c r="J134" s="18"/>
      <c r="K134" s="20">
        <f>SUMIF('GSTR-2B'!$G:$G,$B134,'GSTR-2B'!J:J)</f>
        <v>51.2</v>
      </c>
      <c r="L134" s="20">
        <f>SUMIF('GSTR-2B'!$G:$G,$B134,'GSTR-2B'!L:L)</f>
        <v>0</v>
      </c>
      <c r="M134" s="20">
        <f>SUMIF('GSTR-2B'!$G:$G,$B134,'GSTR-2B'!M:M)</f>
        <v>4.6100000000000003</v>
      </c>
      <c r="N134" s="20">
        <f>SUMIF('GSTR-2B'!$G:$G,$B134,'GSTR-2B'!N:N)</f>
        <v>4.6100000000000003</v>
      </c>
      <c r="O134" s="20">
        <f>SUMIF('GSTR-2B'!$G:$G,$B134,'GSTR-2B'!O:O)</f>
        <v>0</v>
      </c>
      <c r="P134" s="20"/>
      <c r="Q134" s="20">
        <f t="shared" si="16"/>
        <v>0</v>
      </c>
      <c r="R134" s="20">
        <f t="shared" si="17"/>
        <v>0</v>
      </c>
      <c r="S134" s="20">
        <f t="shared" si="18"/>
        <v>0</v>
      </c>
      <c r="T134" s="20">
        <f t="shared" si="19"/>
        <v>0</v>
      </c>
      <c r="U134" s="20">
        <f>SUMIF('GSTR-2B'!$G:$G,$B134,'GSTR-2B'!U:U)</f>
        <v>0</v>
      </c>
      <c r="V134" s="21"/>
      <c r="W134" s="22" t="str">
        <f>VLOOKUP(A134,'GST Wise Reco'!$A$3:$T$34,20,0)</f>
        <v>Book And 2B Match</v>
      </c>
      <c r="X134" t="s">
        <v>29</v>
      </c>
      <c r="Y134" t="s">
        <v>29</v>
      </c>
    </row>
    <row r="135" spans="1:25" x14ac:dyDescent="0.3">
      <c r="A135" s="18" t="s">
        <v>63</v>
      </c>
      <c r="B135" s="18" t="s">
        <v>469</v>
      </c>
      <c r="C135" s="18"/>
      <c r="D135" s="18"/>
      <c r="E135" s="20">
        <f>SUMIF(Book!$G:$G,$B135,Book!J:J)</f>
        <v>0</v>
      </c>
      <c r="F135" s="20">
        <f>SUMIF(Book!$G:$G,$B135,Book!L:L)</f>
        <v>0</v>
      </c>
      <c r="G135" s="20">
        <f>SUMIF(Book!$G:$G,$B135,Book!M:M)</f>
        <v>0</v>
      </c>
      <c r="H135" s="20">
        <f>SUMIF(Book!$G:$G,$B135,Book!N:N)</f>
        <v>0</v>
      </c>
      <c r="I135" s="20">
        <f>SUMIF(Book!$G:$G,$B135,Book!O:O)</f>
        <v>0</v>
      </c>
      <c r="J135" s="18"/>
      <c r="K135" s="20">
        <f>SUMIF('GSTR-2B'!$G:$G,$B135,'GSTR-2B'!J:J)</f>
        <v>114616.88</v>
      </c>
      <c r="L135" s="20">
        <f>SUMIF('GSTR-2B'!$G:$G,$B135,'GSTR-2B'!L:L)</f>
        <v>0</v>
      </c>
      <c r="M135" s="20">
        <f>SUMIF('GSTR-2B'!$G:$G,$B135,'GSTR-2B'!M:M)</f>
        <v>10315.52</v>
      </c>
      <c r="N135" s="20">
        <f>SUMIF('GSTR-2B'!$G:$G,$B135,'GSTR-2B'!N:N)</f>
        <v>10315.52</v>
      </c>
      <c r="O135" s="20">
        <f>SUMIF('GSTR-2B'!$G:$G,$B135,'GSTR-2B'!O:O)</f>
        <v>0</v>
      </c>
      <c r="P135" s="20"/>
      <c r="Q135" s="20">
        <f t="shared" si="16"/>
        <v>-114616.88</v>
      </c>
      <c r="R135" s="20">
        <f t="shared" si="17"/>
        <v>0</v>
      </c>
      <c r="S135" s="20">
        <f t="shared" si="18"/>
        <v>-10315.52</v>
      </c>
      <c r="T135" s="20">
        <f t="shared" si="19"/>
        <v>-10315.52</v>
      </c>
      <c r="U135" s="20">
        <f>SUMIF('GSTR-2B'!$G:$G,$B135,'GSTR-2B'!U:U)</f>
        <v>0</v>
      </c>
      <c r="V135" s="21"/>
      <c r="W135" s="22" t="str">
        <f>VLOOKUP(A135,'GST Wise Reco'!$A$3:$T$34,20,0)</f>
        <v>Book And 2B Match</v>
      </c>
      <c r="X135" t="s">
        <v>482</v>
      </c>
      <c r="Y135" t="s">
        <v>29</v>
      </c>
    </row>
    <row r="136" spans="1:25" x14ac:dyDescent="0.3">
      <c r="A136" s="18" t="s">
        <v>63</v>
      </c>
      <c r="B136" s="18" t="s">
        <v>470</v>
      </c>
      <c r="C136" s="18"/>
      <c r="D136" s="18"/>
      <c r="E136" s="20">
        <f>SUMIF(Book!$G:$G,$B136,Book!J:J)</f>
        <v>0</v>
      </c>
      <c r="F136" s="20">
        <f>SUMIF(Book!$G:$G,$B136,Book!L:L)</f>
        <v>0</v>
      </c>
      <c r="G136" s="20">
        <f>SUMIF(Book!$G:$G,$B136,Book!M:M)</f>
        <v>0</v>
      </c>
      <c r="H136" s="20">
        <f>SUMIF(Book!$G:$G,$B136,Book!N:N)</f>
        <v>0</v>
      </c>
      <c r="I136" s="20">
        <f>SUMIF(Book!$G:$G,$B136,Book!O:O)</f>
        <v>0</v>
      </c>
      <c r="J136" s="18"/>
      <c r="K136" s="20">
        <f>SUMIF('GSTR-2B'!$G:$G,$B136,'GSTR-2B'!J:J)</f>
        <v>1198.94</v>
      </c>
      <c r="L136" s="20">
        <f>SUMIF('GSTR-2B'!$G:$G,$B136,'GSTR-2B'!L:L)</f>
        <v>0</v>
      </c>
      <c r="M136" s="20">
        <f>SUMIF('GSTR-2B'!$G:$G,$B136,'GSTR-2B'!M:M)</f>
        <v>107.9</v>
      </c>
      <c r="N136" s="20">
        <f>SUMIF('GSTR-2B'!$G:$G,$B136,'GSTR-2B'!N:N)</f>
        <v>107.9</v>
      </c>
      <c r="O136" s="20">
        <f>SUMIF('GSTR-2B'!$G:$G,$B136,'GSTR-2B'!O:O)</f>
        <v>0</v>
      </c>
      <c r="P136" s="20"/>
      <c r="Q136" s="20">
        <f t="shared" si="16"/>
        <v>-1198.94</v>
      </c>
      <c r="R136" s="20">
        <f t="shared" si="17"/>
        <v>0</v>
      </c>
      <c r="S136" s="20">
        <f t="shared" si="18"/>
        <v>-107.9</v>
      </c>
      <c r="T136" s="20">
        <f t="shared" si="19"/>
        <v>-107.9</v>
      </c>
      <c r="U136" s="20">
        <f>SUMIF('GSTR-2B'!$G:$G,$B136,'GSTR-2B'!U:U)</f>
        <v>0</v>
      </c>
      <c r="V136" s="21"/>
      <c r="W136" s="22" t="str">
        <f>VLOOKUP(A136,'GST Wise Reco'!$A$3:$T$34,20,0)</f>
        <v>Book And 2B Match</v>
      </c>
      <c r="X136" t="s">
        <v>482</v>
      </c>
      <c r="Y136" t="s">
        <v>29</v>
      </c>
    </row>
    <row r="137" spans="1:25" x14ac:dyDescent="0.3">
      <c r="A137" s="18" t="s">
        <v>65</v>
      </c>
      <c r="B137" s="18" t="s">
        <v>304</v>
      </c>
      <c r="C137" s="18"/>
      <c r="D137" s="18"/>
      <c r="E137" s="20">
        <f>SUMIF(Book!$G:$G,$B137,Book!J:J)</f>
        <v>1743578.96</v>
      </c>
      <c r="F137" s="20">
        <f>SUMIF(Book!$G:$G,$B137,Book!L:L)</f>
        <v>0</v>
      </c>
      <c r="G137" s="20">
        <f>SUMIF(Book!$G:$G,$B137,Book!M:M)</f>
        <v>156922.10999999999</v>
      </c>
      <c r="H137" s="20">
        <f>SUMIF(Book!$G:$G,$B137,Book!N:N)</f>
        <v>156922.10999999999</v>
      </c>
      <c r="I137" s="20">
        <f>SUMIF(Book!$G:$G,$B137,Book!O:O)</f>
        <v>0</v>
      </c>
      <c r="J137" s="18"/>
      <c r="K137" s="20">
        <f>SUMIF('GSTR-2B'!$G:$G,$B137,'GSTR-2B'!J:J)</f>
        <v>1743578.96</v>
      </c>
      <c r="L137" s="20">
        <f>SUMIF('GSTR-2B'!$G:$G,$B137,'GSTR-2B'!L:L)</f>
        <v>0</v>
      </c>
      <c r="M137" s="20">
        <f>SUMIF('GSTR-2B'!$G:$G,$B137,'GSTR-2B'!M:M)</f>
        <v>156922.10999999999</v>
      </c>
      <c r="N137" s="20">
        <f>SUMIF('GSTR-2B'!$G:$G,$B137,'GSTR-2B'!N:N)</f>
        <v>156922.10999999999</v>
      </c>
      <c r="O137" s="20">
        <f>SUMIF('GSTR-2B'!$G:$G,$B137,'GSTR-2B'!O:O)</f>
        <v>0</v>
      </c>
      <c r="P137" s="20"/>
      <c r="Q137" s="20">
        <f t="shared" si="16"/>
        <v>0</v>
      </c>
      <c r="R137" s="20">
        <f t="shared" si="17"/>
        <v>0</v>
      </c>
      <c r="S137" s="20">
        <f t="shared" si="18"/>
        <v>0</v>
      </c>
      <c r="T137" s="20">
        <f t="shared" si="19"/>
        <v>0</v>
      </c>
      <c r="U137" s="20">
        <f>SUMIF('GSTR-2B'!$G:$G,$B137,'GSTR-2B'!U:U)</f>
        <v>0</v>
      </c>
      <c r="V137" s="21"/>
      <c r="W137" s="22" t="str">
        <f>VLOOKUP(A137,'GST Wise Reco'!$A$3:$T$34,20,0)</f>
        <v>Book And 2B Match</v>
      </c>
      <c r="X137" t="s">
        <v>29</v>
      </c>
      <c r="Y137" t="s">
        <v>29</v>
      </c>
    </row>
    <row r="138" spans="1:25" x14ac:dyDescent="0.3">
      <c r="A138" s="18" t="s">
        <v>65</v>
      </c>
      <c r="B138" s="18" t="s">
        <v>310</v>
      </c>
      <c r="C138" s="18"/>
      <c r="D138" s="18"/>
      <c r="E138" s="20">
        <f>SUMIF(Book!$G:$G,$B138,Book!J:J)</f>
        <v>2626982.12</v>
      </c>
      <c r="F138" s="20">
        <f>SUMIF(Book!$G:$G,$B138,Book!L:L)</f>
        <v>0</v>
      </c>
      <c r="G138" s="20">
        <f>SUMIF(Book!$G:$G,$B138,Book!M:M)</f>
        <v>236428.39</v>
      </c>
      <c r="H138" s="20">
        <f>SUMIF(Book!$G:$G,$B138,Book!N:N)</f>
        <v>236428.39</v>
      </c>
      <c r="I138" s="20">
        <f>SUMIF(Book!$G:$G,$B138,Book!O:O)</f>
        <v>0</v>
      </c>
      <c r="J138" s="18"/>
      <c r="K138" s="20">
        <f>SUMIF('GSTR-2B'!$G:$G,$B138,'GSTR-2B'!J:J)</f>
        <v>2626982.12</v>
      </c>
      <c r="L138" s="20">
        <f>SUMIF('GSTR-2B'!$G:$G,$B138,'GSTR-2B'!L:L)</f>
        <v>0</v>
      </c>
      <c r="M138" s="20">
        <f>SUMIF('GSTR-2B'!$G:$G,$B138,'GSTR-2B'!M:M)</f>
        <v>236428.39</v>
      </c>
      <c r="N138" s="20">
        <f>SUMIF('GSTR-2B'!$G:$G,$B138,'GSTR-2B'!N:N)</f>
        <v>236428.39</v>
      </c>
      <c r="O138" s="20">
        <f>SUMIF('GSTR-2B'!$G:$G,$B138,'GSTR-2B'!O:O)</f>
        <v>0</v>
      </c>
      <c r="P138" s="20"/>
      <c r="Q138" s="20">
        <f t="shared" si="16"/>
        <v>0</v>
      </c>
      <c r="R138" s="20">
        <f t="shared" si="17"/>
        <v>0</v>
      </c>
      <c r="S138" s="20">
        <f t="shared" si="18"/>
        <v>0</v>
      </c>
      <c r="T138" s="20">
        <f t="shared" si="19"/>
        <v>0</v>
      </c>
      <c r="U138" s="20">
        <f>SUMIF('GSTR-2B'!$G:$G,$B138,'GSTR-2B'!U:U)</f>
        <v>0</v>
      </c>
      <c r="V138" s="21"/>
      <c r="W138" s="22" t="str">
        <f>VLOOKUP(A138,'GST Wise Reco'!$A$3:$T$34,20,0)</f>
        <v>Book And 2B Match</v>
      </c>
      <c r="X138" t="s">
        <v>29</v>
      </c>
      <c r="Y138" t="s">
        <v>29</v>
      </c>
    </row>
    <row r="139" spans="1:25" x14ac:dyDescent="0.3">
      <c r="A139" s="18" t="s">
        <v>65</v>
      </c>
      <c r="B139" s="18" t="s">
        <v>318</v>
      </c>
      <c r="C139" s="18"/>
      <c r="D139" s="18"/>
      <c r="E139" s="20">
        <f>SUMIF(Book!$G:$G,$B139,Book!J:J)</f>
        <v>1048255.59</v>
      </c>
      <c r="F139" s="20">
        <f>SUMIF(Book!$G:$G,$B139,Book!L:L)</f>
        <v>0</v>
      </c>
      <c r="G139" s="20">
        <f>SUMIF(Book!$G:$G,$B139,Book!M:M)</f>
        <v>94343</v>
      </c>
      <c r="H139" s="20">
        <f>SUMIF(Book!$G:$G,$B139,Book!N:N)</f>
        <v>94343</v>
      </c>
      <c r="I139" s="20">
        <f>SUMIF(Book!$G:$G,$B139,Book!O:O)</f>
        <v>0</v>
      </c>
      <c r="J139" s="18"/>
      <c r="K139" s="20">
        <f>SUMIF('GSTR-2B'!$G:$G,$B139,'GSTR-2B'!J:J)</f>
        <v>1048255.59</v>
      </c>
      <c r="L139" s="20">
        <f>SUMIF('GSTR-2B'!$G:$G,$B139,'GSTR-2B'!L:L)</f>
        <v>0</v>
      </c>
      <c r="M139" s="20">
        <f>SUMIF('GSTR-2B'!$G:$G,$B139,'GSTR-2B'!M:M)</f>
        <v>94343</v>
      </c>
      <c r="N139" s="20">
        <f>SUMIF('GSTR-2B'!$G:$G,$B139,'GSTR-2B'!N:N)</f>
        <v>94343</v>
      </c>
      <c r="O139" s="20">
        <f>SUMIF('GSTR-2B'!$G:$G,$B139,'GSTR-2B'!O:O)</f>
        <v>0</v>
      </c>
      <c r="P139" s="20"/>
      <c r="Q139" s="20">
        <f t="shared" si="16"/>
        <v>0</v>
      </c>
      <c r="R139" s="20">
        <f t="shared" si="17"/>
        <v>0</v>
      </c>
      <c r="S139" s="20">
        <f t="shared" si="18"/>
        <v>0</v>
      </c>
      <c r="T139" s="20">
        <f t="shared" si="19"/>
        <v>0</v>
      </c>
      <c r="U139" s="20">
        <f>SUMIF('GSTR-2B'!$G:$G,$B139,'GSTR-2B'!U:U)</f>
        <v>0</v>
      </c>
      <c r="V139" s="21"/>
      <c r="W139" s="22" t="str">
        <f>VLOOKUP(A139,'GST Wise Reco'!$A$3:$T$34,20,0)</f>
        <v>Book And 2B Match</v>
      </c>
      <c r="X139" t="s">
        <v>29</v>
      </c>
      <c r="Y139" t="s">
        <v>29</v>
      </c>
    </row>
    <row r="140" spans="1:25" x14ac:dyDescent="0.3">
      <c r="A140" s="18" t="s">
        <v>65</v>
      </c>
      <c r="B140" s="18" t="s">
        <v>325</v>
      </c>
      <c r="C140" s="18"/>
      <c r="D140" s="18"/>
      <c r="E140" s="20">
        <f>SUMIF(Book!$G:$G,$B140,Book!J:J)</f>
        <v>1483161</v>
      </c>
      <c r="F140" s="20">
        <f>SUMIF(Book!$G:$G,$B140,Book!L:L)</f>
        <v>0</v>
      </c>
      <c r="G140" s="20">
        <f>SUMIF(Book!$G:$G,$B140,Book!M:M)</f>
        <v>133484.49</v>
      </c>
      <c r="H140" s="20">
        <f>SUMIF(Book!$G:$G,$B140,Book!N:N)</f>
        <v>133484.49</v>
      </c>
      <c r="I140" s="20">
        <f>SUMIF(Book!$G:$G,$B140,Book!O:O)</f>
        <v>0</v>
      </c>
      <c r="J140" s="18"/>
      <c r="K140" s="20">
        <f>SUMIF('GSTR-2B'!$G:$G,$B140,'GSTR-2B'!J:J)</f>
        <v>1483161</v>
      </c>
      <c r="L140" s="20">
        <f>SUMIF('GSTR-2B'!$G:$G,$B140,'GSTR-2B'!L:L)</f>
        <v>0</v>
      </c>
      <c r="M140" s="20">
        <f>SUMIF('GSTR-2B'!$G:$G,$B140,'GSTR-2B'!M:M)</f>
        <v>133484.49</v>
      </c>
      <c r="N140" s="20">
        <f>SUMIF('GSTR-2B'!$G:$G,$B140,'GSTR-2B'!N:N)</f>
        <v>133484.49</v>
      </c>
      <c r="O140" s="20">
        <f>SUMIF('GSTR-2B'!$G:$G,$B140,'GSTR-2B'!O:O)</f>
        <v>0</v>
      </c>
      <c r="P140" s="20"/>
      <c r="Q140" s="20">
        <f t="shared" si="16"/>
        <v>0</v>
      </c>
      <c r="R140" s="20">
        <f t="shared" si="17"/>
        <v>0</v>
      </c>
      <c r="S140" s="20">
        <f t="shared" si="18"/>
        <v>0</v>
      </c>
      <c r="T140" s="20">
        <f t="shared" si="19"/>
        <v>0</v>
      </c>
      <c r="U140" s="20">
        <f>SUMIF('GSTR-2B'!$G:$G,$B140,'GSTR-2B'!U:U)</f>
        <v>0</v>
      </c>
      <c r="V140" s="21"/>
      <c r="W140" s="22" t="str">
        <f>VLOOKUP(A140,'GST Wise Reco'!$A$3:$T$34,20,0)</f>
        <v>Book And 2B Match</v>
      </c>
      <c r="X140" t="s">
        <v>29</v>
      </c>
      <c r="Y140" t="s">
        <v>29</v>
      </c>
    </row>
    <row r="141" spans="1:25" x14ac:dyDescent="0.3">
      <c r="A141" s="18" t="s">
        <v>65</v>
      </c>
      <c r="B141" s="18" t="s">
        <v>330</v>
      </c>
      <c r="C141" s="18"/>
      <c r="D141" s="18"/>
      <c r="E141" s="20">
        <f>SUMIF(Book!$G:$G,$B141,Book!J:J)</f>
        <v>414851.3</v>
      </c>
      <c r="F141" s="20">
        <f>SUMIF(Book!$G:$G,$B141,Book!L:L)</f>
        <v>0</v>
      </c>
      <c r="G141" s="20">
        <f>SUMIF(Book!$G:$G,$B141,Book!M:M)</f>
        <v>37336.620000000003</v>
      </c>
      <c r="H141" s="20">
        <f>SUMIF(Book!$G:$G,$B141,Book!N:N)</f>
        <v>37336.620000000003</v>
      </c>
      <c r="I141" s="20">
        <f>SUMIF(Book!$G:$G,$B141,Book!O:O)</f>
        <v>0</v>
      </c>
      <c r="J141" s="18"/>
      <c r="K141" s="20">
        <f>SUMIF('GSTR-2B'!$G:$G,$B141,'GSTR-2B'!J:J)</f>
        <v>414851.3</v>
      </c>
      <c r="L141" s="20">
        <f>SUMIF('GSTR-2B'!$G:$G,$B141,'GSTR-2B'!L:L)</f>
        <v>0</v>
      </c>
      <c r="M141" s="20">
        <f>SUMIF('GSTR-2B'!$G:$G,$B141,'GSTR-2B'!M:M)</f>
        <v>37336.620000000003</v>
      </c>
      <c r="N141" s="20">
        <f>SUMIF('GSTR-2B'!$G:$G,$B141,'GSTR-2B'!N:N)</f>
        <v>37336.620000000003</v>
      </c>
      <c r="O141" s="20">
        <f>SUMIF('GSTR-2B'!$G:$G,$B141,'GSTR-2B'!O:O)</f>
        <v>0</v>
      </c>
      <c r="P141" s="20"/>
      <c r="Q141" s="20">
        <f t="shared" si="16"/>
        <v>0</v>
      </c>
      <c r="R141" s="20">
        <f t="shared" si="17"/>
        <v>0</v>
      </c>
      <c r="S141" s="20">
        <f t="shared" si="18"/>
        <v>0</v>
      </c>
      <c r="T141" s="20">
        <f t="shared" si="19"/>
        <v>0</v>
      </c>
      <c r="U141" s="20">
        <f>SUMIF('GSTR-2B'!$G:$G,$B141,'GSTR-2B'!U:U)</f>
        <v>0</v>
      </c>
      <c r="V141" s="21"/>
      <c r="W141" s="22" t="str">
        <f>VLOOKUP(A141,'GST Wise Reco'!$A$3:$T$34,20,0)</f>
        <v>Book And 2B Match</v>
      </c>
      <c r="X141" t="s">
        <v>29</v>
      </c>
      <c r="Y141" t="s">
        <v>29</v>
      </c>
    </row>
    <row r="142" spans="1:25" x14ac:dyDescent="0.3">
      <c r="A142" s="18" t="s">
        <v>65</v>
      </c>
      <c r="B142" s="18" t="s">
        <v>342</v>
      </c>
      <c r="C142" s="18"/>
      <c r="D142" s="18"/>
      <c r="E142" s="20">
        <f>SUMIF(Book!$G:$G,$B142,Book!J:J)</f>
        <v>54977.93</v>
      </c>
      <c r="F142" s="20">
        <f>SUMIF(Book!$G:$G,$B142,Book!L:L)</f>
        <v>0</v>
      </c>
      <c r="G142" s="20">
        <f>SUMIF(Book!$G:$G,$B142,Book!M:M)</f>
        <v>4948.01</v>
      </c>
      <c r="H142" s="20">
        <f>SUMIF(Book!$G:$G,$B142,Book!N:N)</f>
        <v>4948.01</v>
      </c>
      <c r="I142" s="20">
        <f>SUMIF(Book!$G:$G,$B142,Book!O:O)</f>
        <v>0</v>
      </c>
      <c r="J142" s="18"/>
      <c r="K142" s="20">
        <f>SUMIF('GSTR-2B'!$G:$G,$B142,'GSTR-2B'!J:J)</f>
        <v>54977.93</v>
      </c>
      <c r="L142" s="20">
        <f>SUMIF('GSTR-2B'!$G:$G,$B142,'GSTR-2B'!L:L)</f>
        <v>0</v>
      </c>
      <c r="M142" s="20">
        <f>SUMIF('GSTR-2B'!$G:$G,$B142,'GSTR-2B'!M:M)</f>
        <v>4948.01</v>
      </c>
      <c r="N142" s="20">
        <f>SUMIF('GSTR-2B'!$G:$G,$B142,'GSTR-2B'!N:N)</f>
        <v>4948.01</v>
      </c>
      <c r="O142" s="20">
        <f>SUMIF('GSTR-2B'!$G:$G,$B142,'GSTR-2B'!O:O)</f>
        <v>0</v>
      </c>
      <c r="P142" s="20"/>
      <c r="Q142" s="20">
        <f t="shared" si="16"/>
        <v>0</v>
      </c>
      <c r="R142" s="20">
        <f t="shared" si="17"/>
        <v>0</v>
      </c>
      <c r="S142" s="20">
        <f t="shared" si="18"/>
        <v>0</v>
      </c>
      <c r="T142" s="20">
        <f t="shared" si="19"/>
        <v>0</v>
      </c>
      <c r="U142" s="20">
        <f>SUMIF('GSTR-2B'!$G:$G,$B142,'GSTR-2B'!U:U)</f>
        <v>0</v>
      </c>
      <c r="V142" s="21"/>
      <c r="W142" s="22" t="str">
        <f>VLOOKUP(A142,'GST Wise Reco'!$A$3:$T$34,20,0)</f>
        <v>Book And 2B Match</v>
      </c>
      <c r="X142" t="s">
        <v>29</v>
      </c>
      <c r="Y142" t="s">
        <v>29</v>
      </c>
    </row>
    <row r="143" spans="1:25" x14ac:dyDescent="0.3">
      <c r="A143" s="18" t="s">
        <v>65</v>
      </c>
      <c r="B143" s="18" t="s">
        <v>348</v>
      </c>
      <c r="C143" s="18"/>
      <c r="D143" s="18"/>
      <c r="E143" s="20">
        <f>SUMIF(Book!$G:$G,$B143,Book!J:J)</f>
        <v>1571521.29</v>
      </c>
      <c r="F143" s="20">
        <f>SUMIF(Book!$G:$G,$B143,Book!L:L)</f>
        <v>0</v>
      </c>
      <c r="G143" s="20">
        <f>SUMIF(Book!$G:$G,$B143,Book!M:M)</f>
        <v>141436.92000000001</v>
      </c>
      <c r="H143" s="20">
        <f>SUMIF(Book!$G:$G,$B143,Book!N:N)</f>
        <v>141436.92000000001</v>
      </c>
      <c r="I143" s="20">
        <f>SUMIF(Book!$G:$G,$B143,Book!O:O)</f>
        <v>0</v>
      </c>
      <c r="J143" s="18"/>
      <c r="K143" s="20">
        <f>SUMIF('GSTR-2B'!$G:$G,$B143,'GSTR-2B'!J:J)</f>
        <v>1571521.28</v>
      </c>
      <c r="L143" s="20">
        <f>SUMIF('GSTR-2B'!$G:$G,$B143,'GSTR-2B'!L:L)</f>
        <v>0</v>
      </c>
      <c r="M143" s="20">
        <f>SUMIF('GSTR-2B'!$G:$G,$B143,'GSTR-2B'!M:M)</f>
        <v>141436.92000000001</v>
      </c>
      <c r="N143" s="20">
        <f>SUMIF('GSTR-2B'!$G:$G,$B143,'GSTR-2B'!N:N)</f>
        <v>141436.92000000001</v>
      </c>
      <c r="O143" s="20">
        <f>SUMIF('GSTR-2B'!$G:$G,$B143,'GSTR-2B'!O:O)</f>
        <v>0</v>
      </c>
      <c r="P143" s="20"/>
      <c r="Q143" s="20">
        <f t="shared" si="16"/>
        <v>1.0000000009313226E-2</v>
      </c>
      <c r="R143" s="20">
        <f t="shared" si="17"/>
        <v>0</v>
      </c>
      <c r="S143" s="20">
        <f t="shared" si="18"/>
        <v>0</v>
      </c>
      <c r="T143" s="20">
        <f t="shared" si="19"/>
        <v>0</v>
      </c>
      <c r="U143" s="20">
        <f>SUMIF('GSTR-2B'!$G:$G,$B143,'GSTR-2B'!U:U)</f>
        <v>0</v>
      </c>
      <c r="V143" s="21"/>
      <c r="W143" s="22" t="str">
        <f>VLOOKUP(A143,'GST Wise Reco'!$A$3:$T$34,20,0)</f>
        <v>Book And 2B Match</v>
      </c>
      <c r="X143" t="s">
        <v>29</v>
      </c>
      <c r="Y143" t="s">
        <v>29</v>
      </c>
    </row>
    <row r="144" spans="1:25" x14ac:dyDescent="0.3">
      <c r="A144" s="18" t="s">
        <v>65</v>
      </c>
      <c r="B144" s="18" t="s">
        <v>353</v>
      </c>
      <c r="C144" s="18"/>
      <c r="D144" s="18"/>
      <c r="E144" s="20">
        <f>SUMIF(Book!$G:$G,$B144,Book!J:J)</f>
        <v>1925394.33</v>
      </c>
      <c r="F144" s="20">
        <f>SUMIF(Book!$G:$G,$B144,Book!L:L)</f>
        <v>0</v>
      </c>
      <c r="G144" s="20">
        <f>SUMIF(Book!$G:$G,$B144,Book!M:M)</f>
        <v>173285.49</v>
      </c>
      <c r="H144" s="20">
        <f>SUMIF(Book!$G:$G,$B144,Book!N:N)</f>
        <v>173285.49</v>
      </c>
      <c r="I144" s="20">
        <f>SUMIF(Book!$G:$G,$B144,Book!O:O)</f>
        <v>0</v>
      </c>
      <c r="J144" s="18"/>
      <c r="K144" s="20">
        <f>SUMIF('GSTR-2B'!$G:$G,$B144,'GSTR-2B'!J:J)</f>
        <v>1925394.33</v>
      </c>
      <c r="L144" s="20">
        <f>SUMIF('GSTR-2B'!$G:$G,$B144,'GSTR-2B'!L:L)</f>
        <v>0</v>
      </c>
      <c r="M144" s="20">
        <f>SUMIF('GSTR-2B'!$G:$G,$B144,'GSTR-2B'!M:M)</f>
        <v>173285.49</v>
      </c>
      <c r="N144" s="20">
        <f>SUMIF('GSTR-2B'!$G:$G,$B144,'GSTR-2B'!N:N)</f>
        <v>173285.49</v>
      </c>
      <c r="O144" s="20">
        <f>SUMIF('GSTR-2B'!$G:$G,$B144,'GSTR-2B'!O:O)</f>
        <v>0</v>
      </c>
      <c r="P144" s="20"/>
      <c r="Q144" s="20">
        <f t="shared" si="16"/>
        <v>0</v>
      </c>
      <c r="R144" s="20">
        <f t="shared" si="17"/>
        <v>0</v>
      </c>
      <c r="S144" s="20">
        <f t="shared" si="18"/>
        <v>0</v>
      </c>
      <c r="T144" s="20">
        <f t="shared" si="19"/>
        <v>0</v>
      </c>
      <c r="U144" s="20">
        <f>SUMIF('GSTR-2B'!$G:$G,$B144,'GSTR-2B'!U:U)</f>
        <v>0</v>
      </c>
      <c r="V144" s="21"/>
      <c r="W144" s="22" t="str">
        <f>VLOOKUP(A144,'GST Wise Reco'!$A$3:$T$34,20,0)</f>
        <v>Book And 2B Match</v>
      </c>
      <c r="X144" t="s">
        <v>29</v>
      </c>
      <c r="Y144" t="s">
        <v>29</v>
      </c>
    </row>
    <row r="145" spans="1:25" x14ac:dyDescent="0.3">
      <c r="A145" s="18" t="s">
        <v>65</v>
      </c>
      <c r="B145" s="18" t="s">
        <v>360</v>
      </c>
      <c r="C145" s="18"/>
      <c r="D145" s="18"/>
      <c r="E145" s="20">
        <f>SUMIF(Book!$G:$G,$B145,Book!J:J)</f>
        <v>1003983.25</v>
      </c>
      <c r="F145" s="20">
        <f>SUMIF(Book!$G:$G,$B145,Book!L:L)</f>
        <v>0</v>
      </c>
      <c r="G145" s="20">
        <f>SUMIF(Book!$G:$G,$B145,Book!M:M)</f>
        <v>90358.49</v>
      </c>
      <c r="H145" s="20">
        <f>SUMIF(Book!$G:$G,$B145,Book!N:N)</f>
        <v>90358.49</v>
      </c>
      <c r="I145" s="20">
        <f>SUMIF(Book!$G:$G,$B145,Book!O:O)</f>
        <v>0</v>
      </c>
      <c r="J145" s="18"/>
      <c r="K145" s="20">
        <f>SUMIF('GSTR-2B'!$G:$G,$B145,'GSTR-2B'!J:J)</f>
        <v>1003983.25</v>
      </c>
      <c r="L145" s="20">
        <f>SUMIF('GSTR-2B'!$G:$G,$B145,'GSTR-2B'!L:L)</f>
        <v>0</v>
      </c>
      <c r="M145" s="20">
        <f>SUMIF('GSTR-2B'!$G:$G,$B145,'GSTR-2B'!M:M)</f>
        <v>90358.49</v>
      </c>
      <c r="N145" s="20">
        <f>SUMIF('GSTR-2B'!$G:$G,$B145,'GSTR-2B'!N:N)</f>
        <v>90358.49</v>
      </c>
      <c r="O145" s="20">
        <f>SUMIF('GSTR-2B'!$G:$G,$B145,'GSTR-2B'!O:O)</f>
        <v>0</v>
      </c>
      <c r="P145" s="20"/>
      <c r="Q145" s="20">
        <f t="shared" si="16"/>
        <v>0</v>
      </c>
      <c r="R145" s="20">
        <f t="shared" si="17"/>
        <v>0</v>
      </c>
      <c r="S145" s="20">
        <f t="shared" si="18"/>
        <v>0</v>
      </c>
      <c r="T145" s="20">
        <f t="shared" si="19"/>
        <v>0</v>
      </c>
      <c r="U145" s="20">
        <f>SUMIF('GSTR-2B'!$G:$G,$B145,'GSTR-2B'!U:U)</f>
        <v>0</v>
      </c>
      <c r="V145" s="21"/>
      <c r="W145" s="22" t="str">
        <f>VLOOKUP(A145,'GST Wise Reco'!$A$3:$T$34,20,0)</f>
        <v>Book And 2B Match</v>
      </c>
      <c r="X145" t="s">
        <v>29</v>
      </c>
      <c r="Y145" t="s">
        <v>29</v>
      </c>
    </row>
    <row r="146" spans="1:25" x14ac:dyDescent="0.3">
      <c r="A146" s="18" t="s">
        <v>65</v>
      </c>
      <c r="B146" s="18" t="s">
        <v>372</v>
      </c>
      <c r="C146" s="18"/>
      <c r="D146" s="18"/>
      <c r="E146" s="20">
        <f>SUMIF(Book!$G:$G,$B146,Book!J:J)</f>
        <v>2212590.46</v>
      </c>
      <c r="F146" s="20">
        <f>SUMIF(Book!$G:$G,$B146,Book!L:L)</f>
        <v>0</v>
      </c>
      <c r="G146" s="20">
        <f>SUMIF(Book!$G:$G,$B146,Book!M:M)</f>
        <v>199133.14</v>
      </c>
      <c r="H146" s="20">
        <f>SUMIF(Book!$G:$G,$B146,Book!N:N)</f>
        <v>199133.14</v>
      </c>
      <c r="I146" s="20">
        <f>SUMIF(Book!$G:$G,$B146,Book!O:O)</f>
        <v>0</v>
      </c>
      <c r="J146" s="18"/>
      <c r="K146" s="20">
        <f>SUMIF('GSTR-2B'!$G:$G,$B146,'GSTR-2B'!J:J)</f>
        <v>2212590.4500000002</v>
      </c>
      <c r="L146" s="20">
        <f>SUMIF('GSTR-2B'!$G:$G,$B146,'GSTR-2B'!L:L)</f>
        <v>0</v>
      </c>
      <c r="M146" s="20">
        <f>SUMIF('GSTR-2B'!$G:$G,$B146,'GSTR-2B'!M:M)</f>
        <v>199133.14</v>
      </c>
      <c r="N146" s="20">
        <f>SUMIF('GSTR-2B'!$G:$G,$B146,'GSTR-2B'!N:N)</f>
        <v>199133.14</v>
      </c>
      <c r="O146" s="20">
        <f>SUMIF('GSTR-2B'!$G:$G,$B146,'GSTR-2B'!O:O)</f>
        <v>0</v>
      </c>
      <c r="P146" s="20"/>
      <c r="Q146" s="20">
        <f t="shared" si="16"/>
        <v>9.9999997764825821E-3</v>
      </c>
      <c r="R146" s="20">
        <f t="shared" si="17"/>
        <v>0</v>
      </c>
      <c r="S146" s="20">
        <f t="shared" si="18"/>
        <v>0</v>
      </c>
      <c r="T146" s="20">
        <f t="shared" si="19"/>
        <v>0</v>
      </c>
      <c r="U146" s="20">
        <f>SUMIF('GSTR-2B'!$G:$G,$B146,'GSTR-2B'!U:U)</f>
        <v>0</v>
      </c>
      <c r="V146" s="21"/>
      <c r="W146" s="22" t="str">
        <f>VLOOKUP(A146,'GST Wise Reco'!$A$3:$T$34,20,0)</f>
        <v>Book And 2B Match</v>
      </c>
      <c r="X146" t="s">
        <v>29</v>
      </c>
      <c r="Y146" t="s">
        <v>29</v>
      </c>
    </row>
    <row r="147" spans="1:25" x14ac:dyDescent="0.3">
      <c r="A147" s="18" t="s">
        <v>65</v>
      </c>
      <c r="B147" s="18" t="s">
        <v>380</v>
      </c>
      <c r="C147" s="18"/>
      <c r="D147" s="18"/>
      <c r="E147" s="20">
        <f>SUMIF(Book!$G:$G,$B147,Book!J:J)</f>
        <v>1700243.76</v>
      </c>
      <c r="F147" s="20">
        <f>SUMIF(Book!$G:$G,$B147,Book!L:L)</f>
        <v>0</v>
      </c>
      <c r="G147" s="20">
        <f>SUMIF(Book!$G:$G,$B147,Book!M:M)</f>
        <v>153021.94</v>
      </c>
      <c r="H147" s="20">
        <f>SUMIF(Book!$G:$G,$B147,Book!N:N)</f>
        <v>153021.94</v>
      </c>
      <c r="I147" s="20">
        <f>SUMIF(Book!$G:$G,$B147,Book!O:O)</f>
        <v>0</v>
      </c>
      <c r="J147" s="18"/>
      <c r="K147" s="20">
        <f>SUMIF('GSTR-2B'!$G:$G,$B147,'GSTR-2B'!J:J)</f>
        <v>1700243.76</v>
      </c>
      <c r="L147" s="20">
        <f>SUMIF('GSTR-2B'!$G:$G,$B147,'GSTR-2B'!L:L)</f>
        <v>0</v>
      </c>
      <c r="M147" s="20">
        <f>SUMIF('GSTR-2B'!$G:$G,$B147,'GSTR-2B'!M:M)</f>
        <v>153021.94</v>
      </c>
      <c r="N147" s="20">
        <f>SUMIF('GSTR-2B'!$G:$G,$B147,'GSTR-2B'!N:N)</f>
        <v>153021.94</v>
      </c>
      <c r="O147" s="20">
        <f>SUMIF('GSTR-2B'!$G:$G,$B147,'GSTR-2B'!O:O)</f>
        <v>0</v>
      </c>
      <c r="P147" s="20"/>
      <c r="Q147" s="20">
        <f t="shared" si="16"/>
        <v>0</v>
      </c>
      <c r="R147" s="20">
        <f t="shared" si="17"/>
        <v>0</v>
      </c>
      <c r="S147" s="20">
        <f t="shared" si="18"/>
        <v>0</v>
      </c>
      <c r="T147" s="20">
        <f t="shared" si="19"/>
        <v>0</v>
      </c>
      <c r="U147" s="20">
        <f>SUMIF('GSTR-2B'!$G:$G,$B147,'GSTR-2B'!U:U)</f>
        <v>0</v>
      </c>
      <c r="V147" s="21"/>
      <c r="W147" s="22" t="str">
        <f>VLOOKUP(A147,'GST Wise Reco'!$A$3:$T$34,20,0)</f>
        <v>Book And 2B Match</v>
      </c>
      <c r="X147" t="s">
        <v>29</v>
      </c>
      <c r="Y147" t="s">
        <v>29</v>
      </c>
    </row>
    <row r="148" spans="1:25" x14ac:dyDescent="0.3">
      <c r="A148" s="18" t="s">
        <v>65</v>
      </c>
      <c r="B148" s="18" t="s">
        <v>390</v>
      </c>
      <c r="C148" s="18"/>
      <c r="D148" s="18"/>
      <c r="E148" s="20">
        <f>SUMIF(Book!$G:$G,$B148,Book!J:J)</f>
        <v>2495220.4700000002</v>
      </c>
      <c r="F148" s="20">
        <f>SUMIF(Book!$G:$G,$B148,Book!L:L)</f>
        <v>0</v>
      </c>
      <c r="G148" s="20">
        <f>SUMIF(Book!$G:$G,$B148,Book!M:M)</f>
        <v>224569.84</v>
      </c>
      <c r="H148" s="20">
        <f>SUMIF(Book!$G:$G,$B148,Book!N:N)</f>
        <v>224569.84</v>
      </c>
      <c r="I148" s="20">
        <f>SUMIF(Book!$G:$G,$B148,Book!O:O)</f>
        <v>0</v>
      </c>
      <c r="J148" s="18"/>
      <c r="K148" s="20">
        <f>SUMIF('GSTR-2B'!$G:$G,$B148,'GSTR-2B'!J:J)</f>
        <v>2495220.4700000002</v>
      </c>
      <c r="L148" s="20">
        <f>SUMIF('GSTR-2B'!$G:$G,$B148,'GSTR-2B'!L:L)</f>
        <v>0</v>
      </c>
      <c r="M148" s="20">
        <f>SUMIF('GSTR-2B'!$G:$G,$B148,'GSTR-2B'!M:M)</f>
        <v>224569.84</v>
      </c>
      <c r="N148" s="20">
        <f>SUMIF('GSTR-2B'!$G:$G,$B148,'GSTR-2B'!N:N)</f>
        <v>224569.84</v>
      </c>
      <c r="O148" s="20">
        <f>SUMIF('GSTR-2B'!$G:$G,$B148,'GSTR-2B'!O:O)</f>
        <v>0</v>
      </c>
      <c r="P148" s="20"/>
      <c r="Q148" s="20">
        <f t="shared" si="16"/>
        <v>0</v>
      </c>
      <c r="R148" s="20">
        <f t="shared" si="17"/>
        <v>0</v>
      </c>
      <c r="S148" s="20">
        <f t="shared" si="18"/>
        <v>0</v>
      </c>
      <c r="T148" s="20">
        <f t="shared" si="19"/>
        <v>0</v>
      </c>
      <c r="U148" s="20">
        <f>SUMIF('GSTR-2B'!$G:$G,$B148,'GSTR-2B'!U:U)</f>
        <v>0</v>
      </c>
      <c r="V148" s="21"/>
      <c r="W148" s="22" t="str">
        <f>VLOOKUP(A148,'GST Wise Reco'!$A$3:$T$34,20,0)</f>
        <v>Book And 2B Match</v>
      </c>
      <c r="X148" t="s">
        <v>29</v>
      </c>
      <c r="Y148" t="s">
        <v>29</v>
      </c>
    </row>
    <row r="149" spans="1:25" x14ac:dyDescent="0.3">
      <c r="A149" s="18" t="s">
        <v>82</v>
      </c>
      <c r="B149" s="18" t="s">
        <v>427</v>
      </c>
      <c r="C149" s="18"/>
      <c r="D149" s="18"/>
      <c r="E149" s="20">
        <f>SUMIF(Book!$G:$G,$B149,Book!J:J)</f>
        <v>7200</v>
      </c>
      <c r="F149" s="20">
        <f>SUMIF(Book!$G:$G,$B149,Book!L:L)</f>
        <v>0</v>
      </c>
      <c r="G149" s="20">
        <f>SUMIF(Book!$G:$G,$B149,Book!M:M)</f>
        <v>648</v>
      </c>
      <c r="H149" s="20">
        <f>SUMIF(Book!$G:$G,$B149,Book!N:N)</f>
        <v>648</v>
      </c>
      <c r="I149" s="20">
        <f>SUMIF(Book!$G:$G,$B149,Book!O:O)</f>
        <v>0</v>
      </c>
      <c r="J149" s="18"/>
      <c r="K149" s="20">
        <f>SUMIF('GSTR-2B'!$G:$G,$B149,'GSTR-2B'!J:J)</f>
        <v>7200</v>
      </c>
      <c r="L149" s="20">
        <f>SUMIF('GSTR-2B'!$G:$G,$B149,'GSTR-2B'!L:L)</f>
        <v>0</v>
      </c>
      <c r="M149" s="20">
        <f>SUMIF('GSTR-2B'!$G:$G,$B149,'GSTR-2B'!M:M)</f>
        <v>648</v>
      </c>
      <c r="N149" s="20">
        <f>SUMIF('GSTR-2B'!$G:$G,$B149,'GSTR-2B'!N:N)</f>
        <v>648</v>
      </c>
      <c r="O149" s="20">
        <f>SUMIF('GSTR-2B'!$G:$G,$B149,'GSTR-2B'!O:O)</f>
        <v>0</v>
      </c>
      <c r="P149" s="20"/>
      <c r="Q149" s="20">
        <f t="shared" si="16"/>
        <v>0</v>
      </c>
      <c r="R149" s="20">
        <f t="shared" si="17"/>
        <v>0</v>
      </c>
      <c r="S149" s="20">
        <f t="shared" si="18"/>
        <v>0</v>
      </c>
      <c r="T149" s="20">
        <f t="shared" si="19"/>
        <v>0</v>
      </c>
      <c r="U149" s="20">
        <f>SUMIF('GSTR-2B'!$G:$G,$B149,'GSTR-2B'!U:U)</f>
        <v>0</v>
      </c>
      <c r="V149" s="21"/>
      <c r="W149" s="22" t="str">
        <f>VLOOKUP(A149,'GST Wise Reco'!$A$3:$T$34,20,0)</f>
        <v>Book And 2B Match</v>
      </c>
      <c r="X149" t="s">
        <v>29</v>
      </c>
      <c r="Y149" t="s">
        <v>29</v>
      </c>
    </row>
    <row r="150" spans="1:25" x14ac:dyDescent="0.3">
      <c r="A150" s="18" t="s">
        <v>260</v>
      </c>
      <c r="B150" s="18" t="s">
        <v>461</v>
      </c>
      <c r="C150" s="18"/>
      <c r="D150" s="18"/>
      <c r="E150" s="20">
        <f>SUMIF(Book!$G:$G,$B150,Book!J:J)</f>
        <v>0</v>
      </c>
      <c r="F150" s="20">
        <f>SUMIF(Book!$G:$G,$B150,Book!L:L)</f>
        <v>0</v>
      </c>
      <c r="G150" s="20">
        <f>SUMIF(Book!$G:$G,$B150,Book!M:M)</f>
        <v>0</v>
      </c>
      <c r="H150" s="20">
        <f>SUMIF(Book!$G:$G,$B150,Book!N:N)</f>
        <v>0</v>
      </c>
      <c r="I150" s="20">
        <f>SUMIF(Book!$G:$G,$B150,Book!O:O)</f>
        <v>0</v>
      </c>
      <c r="J150" s="18"/>
      <c r="K150" s="20">
        <f>SUMIF('GSTR-2B'!$G:$G,$B150,'GSTR-2B'!J:J)</f>
        <v>60000</v>
      </c>
      <c r="L150" s="20">
        <f>SUMIF('GSTR-2B'!$G:$G,$B150,'GSTR-2B'!L:L)</f>
        <v>0</v>
      </c>
      <c r="M150" s="20">
        <f>SUMIF('GSTR-2B'!$G:$G,$B150,'GSTR-2B'!M:M)</f>
        <v>5400</v>
      </c>
      <c r="N150" s="20">
        <f>SUMIF('GSTR-2B'!$G:$G,$B150,'GSTR-2B'!N:N)</f>
        <v>5400</v>
      </c>
      <c r="O150" s="20">
        <f>SUMIF('GSTR-2B'!$G:$G,$B150,'GSTR-2B'!O:O)</f>
        <v>0</v>
      </c>
      <c r="P150" s="20"/>
      <c r="Q150" s="20">
        <f t="shared" si="16"/>
        <v>-60000</v>
      </c>
      <c r="R150" s="20">
        <f t="shared" si="17"/>
        <v>0</v>
      </c>
      <c r="S150" s="20">
        <f t="shared" si="18"/>
        <v>-5400</v>
      </c>
      <c r="T150" s="20">
        <f t="shared" si="19"/>
        <v>-5400</v>
      </c>
      <c r="U150" s="20">
        <f>SUMIF('GSTR-2B'!$G:$G,$B150,'GSTR-2B'!U:U)</f>
        <v>0</v>
      </c>
      <c r="V150" s="21"/>
      <c r="W150" s="22" t="str">
        <f>VLOOKUP(A150,'GST Wise Reco'!$A$3:$T$34,20,0)</f>
        <v>Book And 2B Match</v>
      </c>
      <c r="X150" t="s">
        <v>485</v>
      </c>
      <c r="Y150" t="s">
        <v>485</v>
      </c>
    </row>
    <row r="151" spans="1:25" x14ac:dyDescent="0.3">
      <c r="A151" s="18" t="s">
        <v>260</v>
      </c>
      <c r="B151" s="18" t="s">
        <v>462</v>
      </c>
      <c r="C151" s="18"/>
      <c r="D151" s="18"/>
      <c r="E151" s="20">
        <f>SUMIF(Book!$G:$G,$B151,Book!J:J)</f>
        <v>0</v>
      </c>
      <c r="F151" s="20">
        <f>SUMIF(Book!$G:$G,$B151,Book!L:L)</f>
        <v>0</v>
      </c>
      <c r="G151" s="20">
        <f>SUMIF(Book!$G:$G,$B151,Book!M:M)</f>
        <v>0</v>
      </c>
      <c r="H151" s="20">
        <f>SUMIF(Book!$G:$G,$B151,Book!N:N)</f>
        <v>0</v>
      </c>
      <c r="I151" s="20">
        <f>SUMIF(Book!$G:$G,$B151,Book!O:O)</f>
        <v>0</v>
      </c>
      <c r="J151" s="18"/>
      <c r="K151" s="20">
        <f>SUMIF('GSTR-2B'!$G:$G,$B151,'GSTR-2B'!J:J)</f>
        <v>15000</v>
      </c>
      <c r="L151" s="20">
        <f>SUMIF('GSTR-2B'!$G:$G,$B151,'GSTR-2B'!L:L)</f>
        <v>0</v>
      </c>
      <c r="M151" s="20">
        <f>SUMIF('GSTR-2B'!$G:$G,$B151,'GSTR-2B'!M:M)</f>
        <v>1350</v>
      </c>
      <c r="N151" s="20">
        <f>SUMIF('GSTR-2B'!$G:$G,$B151,'GSTR-2B'!N:N)</f>
        <v>1350</v>
      </c>
      <c r="O151" s="20">
        <f>SUMIF('GSTR-2B'!$G:$G,$B151,'GSTR-2B'!O:O)</f>
        <v>0</v>
      </c>
      <c r="P151" s="20"/>
      <c r="Q151" s="20">
        <f t="shared" si="16"/>
        <v>-15000</v>
      </c>
      <c r="R151" s="20">
        <f t="shared" si="17"/>
        <v>0</v>
      </c>
      <c r="S151" s="20">
        <f t="shared" si="18"/>
        <v>-1350</v>
      </c>
      <c r="T151" s="20">
        <f t="shared" si="19"/>
        <v>-1350</v>
      </c>
      <c r="U151" s="20">
        <f>SUMIF('GSTR-2B'!$G:$G,$B151,'GSTR-2B'!U:U)</f>
        <v>0</v>
      </c>
      <c r="V151" s="21"/>
      <c r="W151" s="22" t="str">
        <f>VLOOKUP(A151,'GST Wise Reco'!$A$3:$T$34,20,0)</f>
        <v>Book And 2B Match</v>
      </c>
      <c r="X151" t="s">
        <v>485</v>
      </c>
      <c r="Y151" t="s">
        <v>485</v>
      </c>
    </row>
    <row r="152" spans="1:25" x14ac:dyDescent="0.3">
      <c r="A152" s="18" t="s">
        <v>260</v>
      </c>
      <c r="B152" s="18" t="s">
        <v>463</v>
      </c>
      <c r="C152" s="18"/>
      <c r="D152" s="18"/>
      <c r="E152" s="20">
        <f>SUMIF(Book!$G:$G,$B152,Book!J:J)</f>
        <v>0</v>
      </c>
      <c r="F152" s="20">
        <f>SUMIF(Book!$G:$G,$B152,Book!L:L)</f>
        <v>0</v>
      </c>
      <c r="G152" s="20">
        <f>SUMIF(Book!$G:$G,$B152,Book!M:M)</f>
        <v>0</v>
      </c>
      <c r="H152" s="20">
        <f>SUMIF(Book!$G:$G,$B152,Book!N:N)</f>
        <v>0</v>
      </c>
      <c r="I152" s="20">
        <f>SUMIF(Book!$G:$G,$B152,Book!O:O)</f>
        <v>0</v>
      </c>
      <c r="J152" s="18"/>
      <c r="K152" s="20">
        <f>SUMIF('GSTR-2B'!$G:$G,$B152,'GSTR-2B'!J:J)</f>
        <v>15000</v>
      </c>
      <c r="L152" s="20">
        <f>SUMIF('GSTR-2B'!$G:$G,$B152,'GSTR-2B'!L:L)</f>
        <v>0</v>
      </c>
      <c r="M152" s="20">
        <f>SUMIF('GSTR-2B'!$G:$G,$B152,'GSTR-2B'!M:M)</f>
        <v>1350</v>
      </c>
      <c r="N152" s="20">
        <f>SUMIF('GSTR-2B'!$G:$G,$B152,'GSTR-2B'!N:N)</f>
        <v>1350</v>
      </c>
      <c r="O152" s="20">
        <f>SUMIF('GSTR-2B'!$G:$G,$B152,'GSTR-2B'!O:O)</f>
        <v>0</v>
      </c>
      <c r="P152" s="20"/>
      <c r="Q152" s="20">
        <f t="shared" si="16"/>
        <v>-15000</v>
      </c>
      <c r="R152" s="20">
        <f t="shared" si="17"/>
        <v>0</v>
      </c>
      <c r="S152" s="20">
        <f t="shared" si="18"/>
        <v>-1350</v>
      </c>
      <c r="T152" s="20">
        <f t="shared" si="19"/>
        <v>-1350</v>
      </c>
      <c r="U152" s="20">
        <f>SUMIF('GSTR-2B'!$G:$G,$B152,'GSTR-2B'!U:U)</f>
        <v>0</v>
      </c>
      <c r="V152" s="21"/>
      <c r="W152" s="22" t="str">
        <f>VLOOKUP(A152,'GST Wise Reco'!$A$3:$T$34,20,0)</f>
        <v>Book And 2B Match</v>
      </c>
      <c r="X152" t="s">
        <v>485</v>
      </c>
      <c r="Y152" t="s">
        <v>485</v>
      </c>
    </row>
    <row r="153" spans="1:25" x14ac:dyDescent="0.3">
      <c r="A153" s="18" t="s">
        <v>260</v>
      </c>
      <c r="B153" s="18" t="s">
        <v>464</v>
      </c>
      <c r="C153" s="18"/>
      <c r="D153" s="18"/>
      <c r="E153" s="20">
        <f>SUMIF(Book!$G:$G,$B153,Book!J:J)</f>
        <v>0</v>
      </c>
      <c r="F153" s="20">
        <f>SUMIF(Book!$G:$G,$B153,Book!L:L)</f>
        <v>0</v>
      </c>
      <c r="G153" s="20">
        <f>SUMIF(Book!$G:$G,$B153,Book!M:M)</f>
        <v>0</v>
      </c>
      <c r="H153" s="20">
        <f>SUMIF(Book!$G:$G,$B153,Book!N:N)</f>
        <v>0</v>
      </c>
      <c r="I153" s="20">
        <f>SUMIF(Book!$G:$G,$B153,Book!O:O)</f>
        <v>0</v>
      </c>
      <c r="J153" s="18"/>
      <c r="K153" s="20">
        <f>SUMIF('GSTR-2B'!$G:$G,$B153,'GSTR-2B'!J:J)</f>
        <v>15000</v>
      </c>
      <c r="L153" s="20">
        <f>SUMIF('GSTR-2B'!$G:$G,$B153,'GSTR-2B'!L:L)</f>
        <v>0</v>
      </c>
      <c r="M153" s="20">
        <f>SUMIF('GSTR-2B'!$G:$G,$B153,'GSTR-2B'!M:M)</f>
        <v>1350</v>
      </c>
      <c r="N153" s="20">
        <f>SUMIF('GSTR-2B'!$G:$G,$B153,'GSTR-2B'!N:N)</f>
        <v>1350</v>
      </c>
      <c r="O153" s="20">
        <f>SUMIF('GSTR-2B'!$G:$G,$B153,'GSTR-2B'!O:O)</f>
        <v>0</v>
      </c>
      <c r="P153" s="20"/>
      <c r="Q153" s="20">
        <f t="shared" si="16"/>
        <v>-15000</v>
      </c>
      <c r="R153" s="20">
        <f t="shared" si="17"/>
        <v>0</v>
      </c>
      <c r="S153" s="20">
        <f t="shared" si="18"/>
        <v>-1350</v>
      </c>
      <c r="T153" s="20">
        <f t="shared" si="19"/>
        <v>-1350</v>
      </c>
      <c r="U153" s="20">
        <f>SUMIF('GSTR-2B'!$G:$G,$B153,'GSTR-2B'!U:U)</f>
        <v>0</v>
      </c>
      <c r="V153" s="21"/>
      <c r="W153" s="22" t="str">
        <f>VLOOKUP(A153,'GST Wise Reco'!$A$3:$T$34,20,0)</f>
        <v>Book And 2B Match</v>
      </c>
      <c r="X153" t="s">
        <v>485</v>
      </c>
      <c r="Y153" t="s">
        <v>485</v>
      </c>
    </row>
    <row r="154" spans="1:25" x14ac:dyDescent="0.3">
      <c r="A154" s="18" t="s">
        <v>260</v>
      </c>
      <c r="B154" s="18" t="s">
        <v>465</v>
      </c>
      <c r="C154" s="18"/>
      <c r="D154" s="18"/>
      <c r="E154" s="20">
        <f>SUMIF(Book!$G:$G,$B154,Book!J:J)</f>
        <v>0</v>
      </c>
      <c r="F154" s="20">
        <f>SUMIF(Book!$G:$G,$B154,Book!L:L)</f>
        <v>0</v>
      </c>
      <c r="G154" s="20">
        <f>SUMIF(Book!$G:$G,$B154,Book!M:M)</f>
        <v>0</v>
      </c>
      <c r="H154" s="20">
        <f>SUMIF(Book!$G:$G,$B154,Book!N:N)</f>
        <v>0</v>
      </c>
      <c r="I154" s="20">
        <f>SUMIF(Book!$G:$G,$B154,Book!O:O)</f>
        <v>0</v>
      </c>
      <c r="J154" s="18"/>
      <c r="K154" s="20">
        <f>SUMIF('GSTR-2B'!$G:$G,$B154,'GSTR-2B'!J:J)</f>
        <v>15000</v>
      </c>
      <c r="L154" s="20">
        <f>SUMIF('GSTR-2B'!$G:$G,$B154,'GSTR-2B'!L:L)</f>
        <v>0</v>
      </c>
      <c r="M154" s="20">
        <f>SUMIF('GSTR-2B'!$G:$G,$B154,'GSTR-2B'!M:M)</f>
        <v>1350</v>
      </c>
      <c r="N154" s="20">
        <f>SUMIF('GSTR-2B'!$G:$G,$B154,'GSTR-2B'!N:N)</f>
        <v>1350</v>
      </c>
      <c r="O154" s="20">
        <f>SUMIF('GSTR-2B'!$G:$G,$B154,'GSTR-2B'!O:O)</f>
        <v>0</v>
      </c>
      <c r="P154" s="20"/>
      <c r="Q154" s="20">
        <f t="shared" si="16"/>
        <v>-15000</v>
      </c>
      <c r="R154" s="20">
        <f t="shared" si="17"/>
        <v>0</v>
      </c>
      <c r="S154" s="20">
        <f t="shared" si="18"/>
        <v>-1350</v>
      </c>
      <c r="T154" s="20">
        <f t="shared" si="19"/>
        <v>-1350</v>
      </c>
      <c r="U154" s="20">
        <f>SUMIF('GSTR-2B'!$G:$G,$B154,'GSTR-2B'!U:U)</f>
        <v>0</v>
      </c>
      <c r="V154" s="21"/>
      <c r="W154" s="22" t="str">
        <f>VLOOKUP(A154,'GST Wise Reco'!$A$3:$T$34,20,0)</f>
        <v>Book And 2B Match</v>
      </c>
      <c r="X154" t="s">
        <v>485</v>
      </c>
      <c r="Y154" t="s">
        <v>485</v>
      </c>
    </row>
    <row r="155" spans="1:25" x14ac:dyDescent="0.3">
      <c r="A155" s="18" t="s">
        <v>260</v>
      </c>
      <c r="B155" s="18" t="s">
        <v>477</v>
      </c>
      <c r="C155" s="18"/>
      <c r="D155" s="18"/>
      <c r="E155" s="20">
        <f>SUMIF(Book!$G:$G,$B155,Book!J:J)</f>
        <v>0</v>
      </c>
      <c r="F155" s="20">
        <f>SUMIF(Book!$G:$G,$B155,Book!L:L)</f>
        <v>0</v>
      </c>
      <c r="G155" s="20">
        <f>SUMIF(Book!$G:$G,$B155,Book!M:M)</f>
        <v>0</v>
      </c>
      <c r="H155" s="20">
        <f>SUMIF(Book!$G:$G,$B155,Book!N:N)</f>
        <v>0</v>
      </c>
      <c r="I155" s="20">
        <f>SUMIF(Book!$G:$G,$B155,Book!O:O)</f>
        <v>0</v>
      </c>
      <c r="J155" s="18"/>
      <c r="K155" s="20">
        <f>SUMIF('GSTR-2B'!$G:$G,$B155,'GSTR-2B'!J:J)</f>
        <v>-60000</v>
      </c>
      <c r="L155" s="20">
        <f>SUMIF('GSTR-2B'!$G:$G,$B155,'GSTR-2B'!L:L)</f>
        <v>0</v>
      </c>
      <c r="M155" s="20">
        <f>SUMIF('GSTR-2B'!$G:$G,$B155,'GSTR-2B'!M:M)</f>
        <v>-5400</v>
      </c>
      <c r="N155" s="20">
        <f>SUMIF('GSTR-2B'!$G:$G,$B155,'GSTR-2B'!N:N)</f>
        <v>-5400</v>
      </c>
      <c r="O155" s="20">
        <f>SUMIF('GSTR-2B'!$G:$G,$B155,'GSTR-2B'!O:O)</f>
        <v>0</v>
      </c>
      <c r="P155" s="20"/>
      <c r="Q155" s="20">
        <f t="shared" si="16"/>
        <v>60000</v>
      </c>
      <c r="R155" s="20">
        <f t="shared" si="17"/>
        <v>0</v>
      </c>
      <c r="S155" s="20">
        <f t="shared" si="18"/>
        <v>5400</v>
      </c>
      <c r="T155" s="20">
        <f t="shared" si="19"/>
        <v>5400</v>
      </c>
      <c r="U155" s="20">
        <f>SUMIF('GSTR-2B'!$G:$G,$B155,'GSTR-2B'!U:U)</f>
        <v>0</v>
      </c>
      <c r="V155" s="21"/>
      <c r="W155" s="22" t="str">
        <f>VLOOKUP(A155,'GST Wise Reco'!$A$3:$T$34,20,0)</f>
        <v>Book And 2B Match</v>
      </c>
      <c r="X155" t="s">
        <v>485</v>
      </c>
      <c r="Y155" t="s">
        <v>485</v>
      </c>
    </row>
    <row r="156" spans="1:25" x14ac:dyDescent="0.3">
      <c r="A156" s="18" t="s">
        <v>260</v>
      </c>
      <c r="B156" s="18" t="s">
        <v>478</v>
      </c>
      <c r="C156" s="18"/>
      <c r="D156" s="18"/>
      <c r="E156" s="20">
        <f>SUMIF(Book!$G:$G,$B156,Book!J:J)</f>
        <v>0</v>
      </c>
      <c r="F156" s="20">
        <f>SUMIF(Book!$G:$G,$B156,Book!L:L)</f>
        <v>0</v>
      </c>
      <c r="G156" s="20">
        <f>SUMIF(Book!$G:$G,$B156,Book!M:M)</f>
        <v>0</v>
      </c>
      <c r="H156" s="20">
        <f>SUMIF(Book!$G:$G,$B156,Book!N:N)</f>
        <v>0</v>
      </c>
      <c r="I156" s="20">
        <f>SUMIF(Book!$G:$G,$B156,Book!O:O)</f>
        <v>0</v>
      </c>
      <c r="J156" s="18"/>
      <c r="K156" s="20">
        <f>SUMIF('GSTR-2B'!$G:$G,$B156,'GSTR-2B'!J:J)</f>
        <v>-15000</v>
      </c>
      <c r="L156" s="20">
        <f>SUMIF('GSTR-2B'!$G:$G,$B156,'GSTR-2B'!L:L)</f>
        <v>0</v>
      </c>
      <c r="M156" s="20">
        <f>SUMIF('GSTR-2B'!$G:$G,$B156,'GSTR-2B'!M:M)</f>
        <v>-1350</v>
      </c>
      <c r="N156" s="20">
        <f>SUMIF('GSTR-2B'!$G:$G,$B156,'GSTR-2B'!N:N)</f>
        <v>-1350</v>
      </c>
      <c r="O156" s="20">
        <f>SUMIF('GSTR-2B'!$G:$G,$B156,'GSTR-2B'!O:O)</f>
        <v>0</v>
      </c>
      <c r="P156" s="20"/>
      <c r="Q156" s="20">
        <f t="shared" si="16"/>
        <v>15000</v>
      </c>
      <c r="R156" s="20">
        <f t="shared" si="17"/>
        <v>0</v>
      </c>
      <c r="S156" s="20">
        <f t="shared" si="18"/>
        <v>1350</v>
      </c>
      <c r="T156" s="20">
        <f t="shared" si="19"/>
        <v>1350</v>
      </c>
      <c r="U156" s="20">
        <f>SUMIF('GSTR-2B'!$G:$G,$B156,'GSTR-2B'!U:U)</f>
        <v>0</v>
      </c>
      <c r="V156" s="21"/>
      <c r="W156" s="22" t="str">
        <f>VLOOKUP(A156,'GST Wise Reco'!$A$3:$T$34,20,0)</f>
        <v>Book And 2B Match</v>
      </c>
      <c r="X156" t="s">
        <v>485</v>
      </c>
      <c r="Y156" t="s">
        <v>485</v>
      </c>
    </row>
    <row r="157" spans="1:25" x14ac:dyDescent="0.3">
      <c r="A157" s="18" t="s">
        <v>260</v>
      </c>
      <c r="B157" s="18" t="s">
        <v>479</v>
      </c>
      <c r="C157" s="18"/>
      <c r="D157" s="18"/>
      <c r="E157" s="20">
        <f>SUMIF(Book!$G:$G,$B157,Book!J:J)</f>
        <v>0</v>
      </c>
      <c r="F157" s="20">
        <f>SUMIF(Book!$G:$G,$B157,Book!L:L)</f>
        <v>0</v>
      </c>
      <c r="G157" s="20">
        <f>SUMIF(Book!$G:$G,$B157,Book!M:M)</f>
        <v>0</v>
      </c>
      <c r="H157" s="20">
        <f>SUMIF(Book!$G:$G,$B157,Book!N:N)</f>
        <v>0</v>
      </c>
      <c r="I157" s="20">
        <f>SUMIF(Book!$G:$G,$B157,Book!O:O)</f>
        <v>0</v>
      </c>
      <c r="J157" s="18"/>
      <c r="K157" s="20">
        <f>SUMIF('GSTR-2B'!$G:$G,$B157,'GSTR-2B'!J:J)</f>
        <v>-15000</v>
      </c>
      <c r="L157" s="20">
        <f>SUMIF('GSTR-2B'!$G:$G,$B157,'GSTR-2B'!L:L)</f>
        <v>0</v>
      </c>
      <c r="M157" s="20">
        <f>SUMIF('GSTR-2B'!$G:$G,$B157,'GSTR-2B'!M:M)</f>
        <v>-1350</v>
      </c>
      <c r="N157" s="20">
        <f>SUMIF('GSTR-2B'!$G:$G,$B157,'GSTR-2B'!N:N)</f>
        <v>-1350</v>
      </c>
      <c r="O157" s="20">
        <f>SUMIF('GSTR-2B'!$G:$G,$B157,'GSTR-2B'!O:O)</f>
        <v>0</v>
      </c>
      <c r="P157" s="20"/>
      <c r="Q157" s="20">
        <f t="shared" si="16"/>
        <v>15000</v>
      </c>
      <c r="R157" s="20">
        <f t="shared" si="17"/>
        <v>0</v>
      </c>
      <c r="S157" s="20">
        <f t="shared" si="18"/>
        <v>1350</v>
      </c>
      <c r="T157" s="20">
        <f t="shared" si="19"/>
        <v>1350</v>
      </c>
      <c r="U157" s="20">
        <f>SUMIF('GSTR-2B'!$G:$G,$B157,'GSTR-2B'!U:U)</f>
        <v>0</v>
      </c>
      <c r="V157" s="21"/>
      <c r="W157" s="22" t="str">
        <f>VLOOKUP(A157,'GST Wise Reco'!$A$3:$T$34,20,0)</f>
        <v>Book And 2B Match</v>
      </c>
      <c r="X157" t="s">
        <v>485</v>
      </c>
      <c r="Y157" t="s">
        <v>485</v>
      </c>
    </row>
    <row r="158" spans="1:25" x14ac:dyDescent="0.3">
      <c r="A158" s="18" t="s">
        <v>260</v>
      </c>
      <c r="B158" s="18" t="s">
        <v>480</v>
      </c>
      <c r="C158" s="18"/>
      <c r="D158" s="18"/>
      <c r="E158" s="20">
        <f>SUMIF(Book!$G:$G,$B158,Book!J:J)</f>
        <v>0</v>
      </c>
      <c r="F158" s="20">
        <f>SUMIF(Book!$G:$G,$B158,Book!L:L)</f>
        <v>0</v>
      </c>
      <c r="G158" s="20">
        <f>SUMIF(Book!$G:$G,$B158,Book!M:M)</f>
        <v>0</v>
      </c>
      <c r="H158" s="20">
        <f>SUMIF(Book!$G:$G,$B158,Book!N:N)</f>
        <v>0</v>
      </c>
      <c r="I158" s="20">
        <f>SUMIF(Book!$G:$G,$B158,Book!O:O)</f>
        <v>0</v>
      </c>
      <c r="J158" s="18"/>
      <c r="K158" s="20">
        <f>SUMIF('GSTR-2B'!$G:$G,$B158,'GSTR-2B'!J:J)</f>
        <v>-15000</v>
      </c>
      <c r="L158" s="20">
        <f>SUMIF('GSTR-2B'!$G:$G,$B158,'GSTR-2B'!L:L)</f>
        <v>0</v>
      </c>
      <c r="M158" s="20">
        <f>SUMIF('GSTR-2B'!$G:$G,$B158,'GSTR-2B'!M:M)</f>
        <v>-1350</v>
      </c>
      <c r="N158" s="20">
        <f>SUMIF('GSTR-2B'!$G:$G,$B158,'GSTR-2B'!N:N)</f>
        <v>-1350</v>
      </c>
      <c r="O158" s="20">
        <f>SUMIF('GSTR-2B'!$G:$G,$B158,'GSTR-2B'!O:O)</f>
        <v>0</v>
      </c>
      <c r="P158" s="20"/>
      <c r="Q158" s="20">
        <f t="shared" si="16"/>
        <v>15000</v>
      </c>
      <c r="R158" s="20">
        <f t="shared" si="17"/>
        <v>0</v>
      </c>
      <c r="S158" s="20">
        <f t="shared" si="18"/>
        <v>1350</v>
      </c>
      <c r="T158" s="20">
        <f t="shared" si="19"/>
        <v>1350</v>
      </c>
      <c r="U158" s="20">
        <f>SUMIF('GSTR-2B'!$G:$G,$B158,'GSTR-2B'!U:U)</f>
        <v>0</v>
      </c>
      <c r="V158" s="21"/>
      <c r="W158" s="22" t="str">
        <f>VLOOKUP(A158,'GST Wise Reco'!$A$3:$T$34,20,0)</f>
        <v>Book And 2B Match</v>
      </c>
      <c r="X158" t="s">
        <v>485</v>
      </c>
      <c r="Y158" t="s">
        <v>485</v>
      </c>
    </row>
    <row r="159" spans="1:25" x14ac:dyDescent="0.3">
      <c r="A159" s="18" t="s">
        <v>260</v>
      </c>
      <c r="B159" s="18" t="s">
        <v>481</v>
      </c>
      <c r="C159" s="18"/>
      <c r="D159" s="18"/>
      <c r="E159" s="20">
        <f>SUMIF(Book!$G:$G,$B159,Book!J:J)</f>
        <v>0</v>
      </c>
      <c r="F159" s="20">
        <f>SUMIF(Book!$G:$G,$B159,Book!L:L)</f>
        <v>0</v>
      </c>
      <c r="G159" s="20">
        <f>SUMIF(Book!$G:$G,$B159,Book!M:M)</f>
        <v>0</v>
      </c>
      <c r="H159" s="20">
        <f>SUMIF(Book!$G:$G,$B159,Book!N:N)</f>
        <v>0</v>
      </c>
      <c r="I159" s="20">
        <f>SUMIF(Book!$G:$G,$B159,Book!O:O)</f>
        <v>0</v>
      </c>
      <c r="J159" s="18"/>
      <c r="K159" s="20">
        <f>SUMIF('GSTR-2B'!$G:$G,$B159,'GSTR-2B'!J:J)</f>
        <v>-15000</v>
      </c>
      <c r="L159" s="20">
        <f>SUMIF('GSTR-2B'!$G:$G,$B159,'GSTR-2B'!L:L)</f>
        <v>0</v>
      </c>
      <c r="M159" s="20">
        <f>SUMIF('GSTR-2B'!$G:$G,$B159,'GSTR-2B'!M:M)</f>
        <v>-1350</v>
      </c>
      <c r="N159" s="20">
        <f>SUMIF('GSTR-2B'!$G:$G,$B159,'GSTR-2B'!N:N)</f>
        <v>-1350</v>
      </c>
      <c r="O159" s="20">
        <f>SUMIF('GSTR-2B'!$G:$G,$B159,'GSTR-2B'!O:O)</f>
        <v>0</v>
      </c>
      <c r="P159" s="20"/>
      <c r="Q159" s="20">
        <f t="shared" si="16"/>
        <v>15000</v>
      </c>
      <c r="R159" s="20">
        <f t="shared" si="17"/>
        <v>0</v>
      </c>
      <c r="S159" s="20">
        <f t="shared" si="18"/>
        <v>1350</v>
      </c>
      <c r="T159" s="20">
        <f t="shared" si="19"/>
        <v>1350</v>
      </c>
      <c r="U159" s="20">
        <f>SUMIF('GSTR-2B'!$G:$G,$B159,'GSTR-2B'!U:U)</f>
        <v>0</v>
      </c>
      <c r="V159" s="21"/>
      <c r="W159" s="22" t="str">
        <f>VLOOKUP(A159,'GST Wise Reco'!$A$3:$T$34,20,0)</f>
        <v>Book And 2B Match</v>
      </c>
      <c r="X159" t="s">
        <v>485</v>
      </c>
      <c r="Y159" t="s">
        <v>485</v>
      </c>
    </row>
    <row r="160" spans="1:25" x14ac:dyDescent="0.3">
      <c r="A160" s="18" t="s">
        <v>72</v>
      </c>
      <c r="B160" s="18" t="s">
        <v>333</v>
      </c>
      <c r="C160" s="18"/>
      <c r="D160" s="18"/>
      <c r="E160" s="20">
        <f>SUMIF(Book!$G:$G,$B160,Book!J:J)</f>
        <v>3376484.09</v>
      </c>
      <c r="F160" s="20">
        <f>SUMIF(Book!$G:$G,$B160,Book!L:L)</f>
        <v>0</v>
      </c>
      <c r="G160" s="20">
        <f>SUMIF(Book!$G:$G,$B160,Book!M:M)</f>
        <v>303883.57</v>
      </c>
      <c r="H160" s="20">
        <f>SUMIF(Book!$G:$G,$B160,Book!N:N)</f>
        <v>303883.57</v>
      </c>
      <c r="I160" s="20">
        <f>SUMIF(Book!$G:$G,$B160,Book!O:O)</f>
        <v>0</v>
      </c>
      <c r="J160" s="18"/>
      <c r="K160" s="20">
        <f>SUMIF('GSTR-2B'!$G:$G,$B160,'GSTR-2B'!J:J)</f>
        <v>3376484.09</v>
      </c>
      <c r="L160" s="20">
        <f>SUMIF('GSTR-2B'!$G:$G,$B160,'GSTR-2B'!L:L)</f>
        <v>0</v>
      </c>
      <c r="M160" s="20">
        <f>SUMIF('GSTR-2B'!$G:$G,$B160,'GSTR-2B'!M:M)</f>
        <v>303883.57</v>
      </c>
      <c r="N160" s="20">
        <f>SUMIF('GSTR-2B'!$G:$G,$B160,'GSTR-2B'!N:N)</f>
        <v>303883.57</v>
      </c>
      <c r="O160" s="20">
        <f>SUMIF('GSTR-2B'!$G:$G,$B160,'GSTR-2B'!O:O)</f>
        <v>0</v>
      </c>
      <c r="P160" s="20"/>
      <c r="Q160" s="20">
        <f t="shared" si="16"/>
        <v>0</v>
      </c>
      <c r="R160" s="20">
        <f t="shared" si="17"/>
        <v>0</v>
      </c>
      <c r="S160" s="20">
        <f t="shared" si="18"/>
        <v>0</v>
      </c>
      <c r="T160" s="20">
        <f t="shared" si="19"/>
        <v>0</v>
      </c>
      <c r="U160" s="20">
        <f>SUMIF('GSTR-2B'!$G:$G,$B160,'GSTR-2B'!U:U)</f>
        <v>0</v>
      </c>
      <c r="V160" s="21"/>
      <c r="W160" s="22" t="str">
        <f>VLOOKUP(A160,'GST Wise Reco'!$A$3:$T$34,20,0)</f>
        <v>Book And 2B Match</v>
      </c>
      <c r="X160" t="s">
        <v>29</v>
      </c>
      <c r="Y160" t="s">
        <v>29</v>
      </c>
    </row>
    <row r="161" spans="1:25" x14ac:dyDescent="0.3">
      <c r="A161" s="18" t="s">
        <v>80</v>
      </c>
      <c r="B161" s="18" t="s">
        <v>419</v>
      </c>
      <c r="C161" s="18"/>
      <c r="D161" s="18"/>
      <c r="E161" s="20">
        <f>SUMIF(Book!$G:$G,$B161,Book!J:J)</f>
        <v>33750</v>
      </c>
      <c r="F161" s="20">
        <f>SUMIF(Book!$G:$G,$B161,Book!L:L)</f>
        <v>0</v>
      </c>
      <c r="G161" s="20">
        <f>SUMIF(Book!$G:$G,$B161,Book!M:M)</f>
        <v>3038</v>
      </c>
      <c r="H161" s="20">
        <f>SUMIF(Book!$G:$G,$B161,Book!N:N)</f>
        <v>3038</v>
      </c>
      <c r="I161" s="20">
        <f>SUMIF(Book!$G:$G,$B161,Book!O:O)</f>
        <v>0</v>
      </c>
      <c r="J161" s="18"/>
      <c r="K161" s="20">
        <f>SUMIF('GSTR-2B'!$G:$G,$B161,'GSTR-2B'!J:J)</f>
        <v>33750</v>
      </c>
      <c r="L161" s="20">
        <f>SUMIF('GSTR-2B'!$G:$G,$B161,'GSTR-2B'!L:L)</f>
        <v>0</v>
      </c>
      <c r="M161" s="20">
        <f>SUMIF('GSTR-2B'!$G:$G,$B161,'GSTR-2B'!M:M)</f>
        <v>3037.5</v>
      </c>
      <c r="N161" s="20">
        <f>SUMIF('GSTR-2B'!$G:$G,$B161,'GSTR-2B'!N:N)</f>
        <v>3037.5</v>
      </c>
      <c r="O161" s="20">
        <f>SUMIF('GSTR-2B'!$G:$G,$B161,'GSTR-2B'!O:O)</f>
        <v>0</v>
      </c>
      <c r="P161" s="20"/>
      <c r="Q161" s="20">
        <f t="shared" si="16"/>
        <v>0</v>
      </c>
      <c r="R161" s="20">
        <f t="shared" si="17"/>
        <v>0</v>
      </c>
      <c r="S161" s="20">
        <f t="shared" si="18"/>
        <v>0.5</v>
      </c>
      <c r="T161" s="20">
        <f t="shared" si="19"/>
        <v>0.5</v>
      </c>
      <c r="U161" s="20">
        <f>SUMIF('GSTR-2B'!$G:$G,$B161,'GSTR-2B'!U:U)</f>
        <v>0</v>
      </c>
      <c r="V161" s="21"/>
      <c r="W161" s="22" t="str">
        <f>VLOOKUP(A161,'GST Wise Reco'!$A$3:$T$34,20,0)</f>
        <v>Book And 2B Match</v>
      </c>
      <c r="X161" t="s">
        <v>29</v>
      </c>
      <c r="Y161" t="s">
        <v>29</v>
      </c>
    </row>
    <row r="162" spans="1:25" x14ac:dyDescent="0.3">
      <c r="A162" s="18" t="s">
        <v>80</v>
      </c>
      <c r="B162" s="18" t="s">
        <v>426</v>
      </c>
      <c r="C162" s="18"/>
      <c r="D162" s="18"/>
      <c r="E162" s="20">
        <f>SUMIF(Book!$G:$G,$B162,Book!J:J)</f>
        <v>33750</v>
      </c>
      <c r="F162" s="20">
        <f>SUMIF(Book!$G:$G,$B162,Book!L:L)</f>
        <v>0</v>
      </c>
      <c r="G162" s="20">
        <f>SUMIF(Book!$G:$G,$B162,Book!M:M)</f>
        <v>3038</v>
      </c>
      <c r="H162" s="20">
        <f>SUMIF(Book!$G:$G,$B162,Book!N:N)</f>
        <v>3038</v>
      </c>
      <c r="I162" s="20">
        <f>SUMIF(Book!$G:$G,$B162,Book!O:O)</f>
        <v>0</v>
      </c>
      <c r="J162" s="18"/>
      <c r="K162" s="20">
        <f>SUMIF('GSTR-2B'!$G:$G,$B162,'GSTR-2B'!J:J)</f>
        <v>33750</v>
      </c>
      <c r="L162" s="20">
        <f>SUMIF('GSTR-2B'!$G:$G,$B162,'GSTR-2B'!L:L)</f>
        <v>0</v>
      </c>
      <c r="M162" s="20">
        <f>SUMIF('GSTR-2B'!$G:$G,$B162,'GSTR-2B'!M:M)</f>
        <v>3037.5</v>
      </c>
      <c r="N162" s="20">
        <f>SUMIF('GSTR-2B'!$G:$G,$B162,'GSTR-2B'!N:N)</f>
        <v>3037.5</v>
      </c>
      <c r="O162" s="20">
        <f>SUMIF('GSTR-2B'!$G:$G,$B162,'GSTR-2B'!O:O)</f>
        <v>0</v>
      </c>
      <c r="P162" s="20"/>
      <c r="Q162" s="20">
        <f t="shared" si="16"/>
        <v>0</v>
      </c>
      <c r="R162" s="20">
        <f t="shared" si="17"/>
        <v>0</v>
      </c>
      <c r="S162" s="20">
        <f t="shared" si="18"/>
        <v>0.5</v>
      </c>
      <c r="T162" s="20">
        <f t="shared" si="19"/>
        <v>0.5</v>
      </c>
      <c r="U162" s="20">
        <f>SUMIF('GSTR-2B'!$G:$G,$B162,'GSTR-2B'!U:U)</f>
        <v>0</v>
      </c>
      <c r="V162" s="21"/>
      <c r="W162" s="22" t="str">
        <f>VLOOKUP(A162,'GST Wise Reco'!$A$3:$T$34,20,0)</f>
        <v>Book And 2B Match</v>
      </c>
      <c r="X162" t="s">
        <v>29</v>
      </c>
      <c r="Y162" t="s">
        <v>29</v>
      </c>
    </row>
    <row r="163" spans="1:25" x14ac:dyDescent="0.3">
      <c r="A163" s="18" t="s">
        <v>80</v>
      </c>
      <c r="B163" s="18" t="s">
        <v>428</v>
      </c>
      <c r="C163" s="18"/>
      <c r="D163" s="18"/>
      <c r="E163" s="20">
        <f>SUMIF(Book!$G:$G,$B163,Book!J:J)</f>
        <v>33750</v>
      </c>
      <c r="F163" s="20">
        <f>SUMIF(Book!$G:$G,$B163,Book!L:L)</f>
        <v>0</v>
      </c>
      <c r="G163" s="20">
        <f>SUMIF(Book!$G:$G,$B163,Book!M:M)</f>
        <v>3038</v>
      </c>
      <c r="H163" s="20">
        <f>SUMIF(Book!$G:$G,$B163,Book!N:N)</f>
        <v>3038</v>
      </c>
      <c r="I163" s="20">
        <f>SUMIF(Book!$G:$G,$B163,Book!O:O)</f>
        <v>0</v>
      </c>
      <c r="J163" s="18"/>
      <c r="K163" s="20">
        <f>SUMIF('GSTR-2B'!$G:$G,$B163,'GSTR-2B'!J:J)</f>
        <v>33750</v>
      </c>
      <c r="L163" s="20">
        <f>SUMIF('GSTR-2B'!$G:$G,$B163,'GSTR-2B'!L:L)</f>
        <v>0</v>
      </c>
      <c r="M163" s="20">
        <f>SUMIF('GSTR-2B'!$G:$G,$B163,'GSTR-2B'!M:M)</f>
        <v>3037.5</v>
      </c>
      <c r="N163" s="20">
        <f>SUMIF('GSTR-2B'!$G:$G,$B163,'GSTR-2B'!N:N)</f>
        <v>3037.5</v>
      </c>
      <c r="O163" s="20">
        <f>SUMIF('GSTR-2B'!$G:$G,$B163,'GSTR-2B'!O:O)</f>
        <v>0</v>
      </c>
      <c r="P163" s="20"/>
      <c r="Q163" s="20">
        <f t="shared" si="16"/>
        <v>0</v>
      </c>
      <c r="R163" s="20">
        <f t="shared" si="17"/>
        <v>0</v>
      </c>
      <c r="S163" s="20">
        <f t="shared" si="18"/>
        <v>0.5</v>
      </c>
      <c r="T163" s="20">
        <f t="shared" si="19"/>
        <v>0.5</v>
      </c>
      <c r="U163" s="20">
        <f>SUMIF('GSTR-2B'!$G:$G,$B163,'GSTR-2B'!U:U)</f>
        <v>0</v>
      </c>
      <c r="V163" s="21"/>
      <c r="W163" s="22" t="str">
        <f>VLOOKUP(A163,'GST Wise Reco'!$A$3:$T$34,20,0)</f>
        <v>Book And 2B Match</v>
      </c>
      <c r="X163" t="s">
        <v>29</v>
      </c>
      <c r="Y163" t="s">
        <v>29</v>
      </c>
    </row>
    <row r="164" spans="1:25" x14ac:dyDescent="0.3">
      <c r="A164" s="18" t="s">
        <v>80</v>
      </c>
      <c r="B164" s="18" t="s">
        <v>429</v>
      </c>
      <c r="C164" s="18"/>
      <c r="D164" s="18"/>
      <c r="E164" s="20">
        <f>SUMIF(Book!$G:$G,$B164,Book!J:J)</f>
        <v>33750</v>
      </c>
      <c r="F164" s="20">
        <f>SUMIF(Book!$G:$G,$B164,Book!L:L)</f>
        <v>0</v>
      </c>
      <c r="G164" s="20">
        <f>SUMIF(Book!$G:$G,$B164,Book!M:M)</f>
        <v>3038</v>
      </c>
      <c r="H164" s="20">
        <f>SUMIF(Book!$G:$G,$B164,Book!N:N)</f>
        <v>3038</v>
      </c>
      <c r="I164" s="20">
        <f>SUMIF(Book!$G:$G,$B164,Book!O:O)</f>
        <v>0</v>
      </c>
      <c r="J164" s="18"/>
      <c r="K164" s="20">
        <f>SUMIF('GSTR-2B'!$G:$G,$B164,'GSTR-2B'!J:J)</f>
        <v>33750</v>
      </c>
      <c r="L164" s="20">
        <f>SUMIF('GSTR-2B'!$G:$G,$B164,'GSTR-2B'!L:L)</f>
        <v>0</v>
      </c>
      <c r="M164" s="20">
        <f>SUMIF('GSTR-2B'!$G:$G,$B164,'GSTR-2B'!M:M)</f>
        <v>3037.5</v>
      </c>
      <c r="N164" s="20">
        <f>SUMIF('GSTR-2B'!$G:$G,$B164,'GSTR-2B'!N:N)</f>
        <v>3037.5</v>
      </c>
      <c r="O164" s="20">
        <f>SUMIF('GSTR-2B'!$G:$G,$B164,'GSTR-2B'!O:O)</f>
        <v>0</v>
      </c>
      <c r="P164" s="20"/>
      <c r="Q164" s="20">
        <f t="shared" si="16"/>
        <v>0</v>
      </c>
      <c r="R164" s="20">
        <f t="shared" si="17"/>
        <v>0</v>
      </c>
      <c r="S164" s="20">
        <f t="shared" si="18"/>
        <v>0.5</v>
      </c>
      <c r="T164" s="20">
        <f t="shared" si="19"/>
        <v>0.5</v>
      </c>
      <c r="U164" s="20">
        <f>SUMIF('GSTR-2B'!$G:$G,$B164,'GSTR-2B'!U:U)</f>
        <v>0</v>
      </c>
      <c r="V164" s="21"/>
      <c r="W164" s="22" t="str">
        <f>VLOOKUP(A164,'GST Wise Reco'!$A$3:$T$34,20,0)</f>
        <v>Book And 2B Match</v>
      </c>
      <c r="X164" t="s">
        <v>29</v>
      </c>
      <c r="Y164" t="s">
        <v>29</v>
      </c>
    </row>
    <row r="165" spans="1:25" x14ac:dyDescent="0.3">
      <c r="A165" s="18" t="s">
        <v>80</v>
      </c>
      <c r="B165" s="18" t="s">
        <v>432</v>
      </c>
      <c r="C165" s="18"/>
      <c r="D165" s="18"/>
      <c r="E165" s="20">
        <f>SUMIF(Book!$G:$G,$B165,Book!J:J)</f>
        <v>33750</v>
      </c>
      <c r="F165" s="20">
        <f>SUMIF(Book!$G:$G,$B165,Book!L:L)</f>
        <v>0</v>
      </c>
      <c r="G165" s="20">
        <f>SUMIF(Book!$G:$G,$B165,Book!M:M)</f>
        <v>3038</v>
      </c>
      <c r="H165" s="20">
        <f>SUMIF(Book!$G:$G,$B165,Book!N:N)</f>
        <v>3038</v>
      </c>
      <c r="I165" s="20">
        <f>SUMIF(Book!$G:$G,$B165,Book!O:O)</f>
        <v>0</v>
      </c>
      <c r="J165" s="18"/>
      <c r="K165" s="20">
        <f>SUMIF('GSTR-2B'!$G:$G,$B165,'GSTR-2B'!J:J)</f>
        <v>33750</v>
      </c>
      <c r="L165" s="20">
        <f>SUMIF('GSTR-2B'!$G:$G,$B165,'GSTR-2B'!L:L)</f>
        <v>0</v>
      </c>
      <c r="M165" s="20">
        <f>SUMIF('GSTR-2B'!$G:$G,$B165,'GSTR-2B'!M:M)</f>
        <v>3037.5</v>
      </c>
      <c r="N165" s="20">
        <f>SUMIF('GSTR-2B'!$G:$G,$B165,'GSTR-2B'!N:N)</f>
        <v>3037.5</v>
      </c>
      <c r="O165" s="20">
        <f>SUMIF('GSTR-2B'!$G:$G,$B165,'GSTR-2B'!O:O)</f>
        <v>0</v>
      </c>
      <c r="P165" s="20"/>
      <c r="Q165" s="20">
        <f t="shared" ref="Q165:Q184" si="20">+E165-K165</f>
        <v>0</v>
      </c>
      <c r="R165" s="20">
        <f t="shared" ref="R165:R184" si="21">+F165-L165</f>
        <v>0</v>
      </c>
      <c r="S165" s="20">
        <f t="shared" ref="S165:S184" si="22">+G165-M165</f>
        <v>0.5</v>
      </c>
      <c r="T165" s="20">
        <f t="shared" ref="T165:T184" si="23">+H165-N165</f>
        <v>0.5</v>
      </c>
      <c r="U165" s="20">
        <f>SUMIF('GSTR-2B'!$G:$G,$B165,'GSTR-2B'!U:U)</f>
        <v>0</v>
      </c>
      <c r="V165" s="21"/>
      <c r="W165" s="22" t="str">
        <f>VLOOKUP(A165,'GST Wise Reco'!$A$3:$T$34,20,0)</f>
        <v>Book And 2B Match</v>
      </c>
      <c r="X165" t="s">
        <v>29</v>
      </c>
      <c r="Y165" t="s">
        <v>29</v>
      </c>
    </row>
    <row r="166" spans="1:25" x14ac:dyDescent="0.3">
      <c r="A166" s="18" t="s">
        <v>80</v>
      </c>
      <c r="B166" s="18" t="s">
        <v>433</v>
      </c>
      <c r="C166" s="18"/>
      <c r="D166" s="18"/>
      <c r="E166" s="20">
        <f>SUMIF(Book!$G:$G,$B166,Book!J:J)</f>
        <v>33750</v>
      </c>
      <c r="F166" s="20">
        <f>SUMIF(Book!$G:$G,$B166,Book!L:L)</f>
        <v>0</v>
      </c>
      <c r="G166" s="20">
        <f>SUMIF(Book!$G:$G,$B166,Book!M:M)</f>
        <v>3037.5</v>
      </c>
      <c r="H166" s="20">
        <f>SUMIF(Book!$G:$G,$B166,Book!N:N)</f>
        <v>3037.5</v>
      </c>
      <c r="I166" s="20">
        <f>SUMIF(Book!$G:$G,$B166,Book!O:O)</f>
        <v>0</v>
      </c>
      <c r="J166" s="18"/>
      <c r="K166" s="20">
        <f>SUMIF('GSTR-2B'!$G:$G,$B166,'GSTR-2B'!J:J)</f>
        <v>33750</v>
      </c>
      <c r="L166" s="20">
        <f>SUMIF('GSTR-2B'!$G:$G,$B166,'GSTR-2B'!L:L)</f>
        <v>0</v>
      </c>
      <c r="M166" s="20">
        <f>SUMIF('GSTR-2B'!$G:$G,$B166,'GSTR-2B'!M:M)</f>
        <v>3037.5</v>
      </c>
      <c r="N166" s="20">
        <f>SUMIF('GSTR-2B'!$G:$G,$B166,'GSTR-2B'!N:N)</f>
        <v>3037.5</v>
      </c>
      <c r="O166" s="20">
        <f>SUMIF('GSTR-2B'!$G:$G,$B166,'GSTR-2B'!O:O)</f>
        <v>0</v>
      </c>
      <c r="P166" s="20"/>
      <c r="Q166" s="20">
        <f t="shared" si="20"/>
        <v>0</v>
      </c>
      <c r="R166" s="20">
        <f t="shared" si="21"/>
        <v>0</v>
      </c>
      <c r="S166" s="20">
        <f t="shared" si="22"/>
        <v>0</v>
      </c>
      <c r="T166" s="20">
        <f t="shared" si="23"/>
        <v>0</v>
      </c>
      <c r="U166" s="20">
        <f>SUMIF('GSTR-2B'!$G:$G,$B166,'GSTR-2B'!U:U)</f>
        <v>0</v>
      </c>
      <c r="V166" s="21"/>
      <c r="W166" s="22" t="str">
        <f>VLOOKUP(A166,'GST Wise Reco'!$A$3:$T$34,20,0)</f>
        <v>Book And 2B Match</v>
      </c>
      <c r="X166" t="s">
        <v>29</v>
      </c>
      <c r="Y166" t="s">
        <v>29</v>
      </c>
    </row>
    <row r="167" spans="1:25" x14ac:dyDescent="0.3">
      <c r="A167" s="18" t="s">
        <v>80</v>
      </c>
      <c r="B167" s="18" t="s">
        <v>435</v>
      </c>
      <c r="C167" s="18"/>
      <c r="D167" s="18"/>
      <c r="E167" s="20">
        <f>SUMIF(Book!$G:$G,$B167,Book!J:J)</f>
        <v>33750</v>
      </c>
      <c r="F167" s="20">
        <f>SUMIF(Book!$G:$G,$B167,Book!L:L)</f>
        <v>0</v>
      </c>
      <c r="G167" s="20">
        <f>SUMIF(Book!$G:$G,$B167,Book!M:M)</f>
        <v>3037.5</v>
      </c>
      <c r="H167" s="20">
        <f>SUMIF(Book!$G:$G,$B167,Book!N:N)</f>
        <v>3037.5</v>
      </c>
      <c r="I167" s="20">
        <f>SUMIF(Book!$G:$G,$B167,Book!O:O)</f>
        <v>0</v>
      </c>
      <c r="J167" s="18"/>
      <c r="K167" s="20">
        <f>SUMIF('GSTR-2B'!$G:$G,$B167,'GSTR-2B'!J:J)</f>
        <v>33750</v>
      </c>
      <c r="L167" s="20">
        <f>SUMIF('GSTR-2B'!$G:$G,$B167,'GSTR-2B'!L:L)</f>
        <v>0</v>
      </c>
      <c r="M167" s="20">
        <f>SUMIF('GSTR-2B'!$G:$G,$B167,'GSTR-2B'!M:M)</f>
        <v>3037.5</v>
      </c>
      <c r="N167" s="20">
        <f>SUMIF('GSTR-2B'!$G:$G,$B167,'GSTR-2B'!N:N)</f>
        <v>3037.5</v>
      </c>
      <c r="O167" s="20">
        <f>SUMIF('GSTR-2B'!$G:$G,$B167,'GSTR-2B'!O:O)</f>
        <v>0</v>
      </c>
      <c r="P167" s="20"/>
      <c r="Q167" s="20">
        <f t="shared" si="20"/>
        <v>0</v>
      </c>
      <c r="R167" s="20">
        <f t="shared" si="21"/>
        <v>0</v>
      </c>
      <c r="S167" s="20">
        <f t="shared" si="22"/>
        <v>0</v>
      </c>
      <c r="T167" s="20">
        <f t="shared" si="23"/>
        <v>0</v>
      </c>
      <c r="U167" s="20">
        <f>SUMIF('GSTR-2B'!$G:$G,$B167,'GSTR-2B'!U:U)</f>
        <v>0</v>
      </c>
      <c r="V167" s="21"/>
      <c r="W167" s="22" t="str">
        <f>VLOOKUP(A167,'GST Wise Reco'!$A$3:$T$34,20,0)</f>
        <v>Book And 2B Match</v>
      </c>
      <c r="X167" t="s">
        <v>29</v>
      </c>
      <c r="Y167" t="s">
        <v>29</v>
      </c>
    </row>
    <row r="168" spans="1:25" x14ac:dyDescent="0.3">
      <c r="A168" s="18" t="s">
        <v>80</v>
      </c>
      <c r="B168" s="18" t="s">
        <v>436</v>
      </c>
      <c r="C168" s="18"/>
      <c r="D168" s="18"/>
      <c r="E168" s="20">
        <f>SUMIF(Book!$G:$G,$B168,Book!J:J)</f>
        <v>33750</v>
      </c>
      <c r="F168" s="20">
        <f>SUMIF(Book!$G:$G,$B168,Book!L:L)</f>
        <v>0</v>
      </c>
      <c r="G168" s="20">
        <f>SUMIF(Book!$G:$G,$B168,Book!M:M)</f>
        <v>3037.5</v>
      </c>
      <c r="H168" s="20">
        <f>SUMIF(Book!$G:$G,$B168,Book!N:N)</f>
        <v>3037.5</v>
      </c>
      <c r="I168" s="20">
        <f>SUMIF(Book!$G:$G,$B168,Book!O:O)</f>
        <v>0</v>
      </c>
      <c r="J168" s="18"/>
      <c r="K168" s="20">
        <f>SUMIF('GSTR-2B'!$G:$G,$B168,'GSTR-2B'!J:J)</f>
        <v>33750</v>
      </c>
      <c r="L168" s="20">
        <f>SUMIF('GSTR-2B'!$G:$G,$B168,'GSTR-2B'!L:L)</f>
        <v>0</v>
      </c>
      <c r="M168" s="20">
        <f>SUMIF('GSTR-2B'!$G:$G,$B168,'GSTR-2B'!M:M)</f>
        <v>3037.5</v>
      </c>
      <c r="N168" s="20">
        <f>SUMIF('GSTR-2B'!$G:$G,$B168,'GSTR-2B'!N:N)</f>
        <v>3037.5</v>
      </c>
      <c r="O168" s="20">
        <f>SUMIF('GSTR-2B'!$G:$G,$B168,'GSTR-2B'!O:O)</f>
        <v>0</v>
      </c>
      <c r="P168" s="20"/>
      <c r="Q168" s="20">
        <f t="shared" si="20"/>
        <v>0</v>
      </c>
      <c r="R168" s="20">
        <f t="shared" si="21"/>
        <v>0</v>
      </c>
      <c r="S168" s="20">
        <f t="shared" si="22"/>
        <v>0</v>
      </c>
      <c r="T168" s="20">
        <f t="shared" si="23"/>
        <v>0</v>
      </c>
      <c r="U168" s="20">
        <f>SUMIF('GSTR-2B'!$G:$G,$B168,'GSTR-2B'!U:U)</f>
        <v>0</v>
      </c>
      <c r="V168" s="21"/>
      <c r="W168" s="22" t="str">
        <f>VLOOKUP(A168,'GST Wise Reco'!$A$3:$T$34,20,0)</f>
        <v>Book And 2B Match</v>
      </c>
      <c r="X168" t="s">
        <v>29</v>
      </c>
      <c r="Y168" t="s">
        <v>29</v>
      </c>
    </row>
    <row r="169" spans="1:25" x14ac:dyDescent="0.3">
      <c r="A169" s="18" t="s">
        <v>80</v>
      </c>
      <c r="B169" s="18" t="s">
        <v>437</v>
      </c>
      <c r="C169" s="18"/>
      <c r="D169" s="18"/>
      <c r="E169" s="20">
        <f>SUMIF(Book!$G:$G,$B169,Book!J:J)</f>
        <v>33750</v>
      </c>
      <c r="F169" s="20">
        <f>SUMIF(Book!$G:$G,$B169,Book!L:L)</f>
        <v>0</v>
      </c>
      <c r="G169" s="20">
        <f>SUMIF(Book!$G:$G,$B169,Book!M:M)</f>
        <v>3037.5</v>
      </c>
      <c r="H169" s="20">
        <f>SUMIF(Book!$G:$G,$B169,Book!N:N)</f>
        <v>3037.5</v>
      </c>
      <c r="I169" s="20">
        <f>SUMIF(Book!$G:$G,$B169,Book!O:O)</f>
        <v>0</v>
      </c>
      <c r="J169" s="18"/>
      <c r="K169" s="20">
        <f>SUMIF('GSTR-2B'!$G:$G,$B169,'GSTR-2B'!J:J)</f>
        <v>33750</v>
      </c>
      <c r="L169" s="20">
        <f>SUMIF('GSTR-2B'!$G:$G,$B169,'GSTR-2B'!L:L)</f>
        <v>0</v>
      </c>
      <c r="M169" s="20">
        <f>SUMIF('GSTR-2B'!$G:$G,$B169,'GSTR-2B'!M:M)</f>
        <v>3037.5</v>
      </c>
      <c r="N169" s="20">
        <f>SUMIF('GSTR-2B'!$G:$G,$B169,'GSTR-2B'!N:N)</f>
        <v>3037.5</v>
      </c>
      <c r="O169" s="20">
        <f>SUMIF('GSTR-2B'!$G:$G,$B169,'GSTR-2B'!O:O)</f>
        <v>0</v>
      </c>
      <c r="P169" s="20"/>
      <c r="Q169" s="20">
        <f t="shared" si="20"/>
        <v>0</v>
      </c>
      <c r="R169" s="20">
        <f t="shared" si="21"/>
        <v>0</v>
      </c>
      <c r="S169" s="20">
        <f t="shared" si="22"/>
        <v>0</v>
      </c>
      <c r="T169" s="20">
        <f t="shared" si="23"/>
        <v>0</v>
      </c>
      <c r="U169" s="20">
        <f>SUMIF('GSTR-2B'!$G:$G,$B169,'GSTR-2B'!U:U)</f>
        <v>0</v>
      </c>
      <c r="V169" s="21"/>
      <c r="W169" s="22" t="str">
        <f>VLOOKUP(A169,'GST Wise Reco'!$A$3:$T$34,20,0)</f>
        <v>Book And 2B Match</v>
      </c>
      <c r="X169" t="s">
        <v>29</v>
      </c>
      <c r="Y169" t="s">
        <v>29</v>
      </c>
    </row>
    <row r="170" spans="1:25" x14ac:dyDescent="0.3">
      <c r="A170" s="18" t="s">
        <v>80</v>
      </c>
      <c r="B170" s="18" t="s">
        <v>445</v>
      </c>
      <c r="C170" s="18"/>
      <c r="D170" s="18"/>
      <c r="E170" s="20">
        <f>SUMIF(Book!$G:$G,$B170,Book!J:J)</f>
        <v>33750</v>
      </c>
      <c r="F170" s="20">
        <f>SUMIF(Book!$G:$G,$B170,Book!L:L)</f>
        <v>0</v>
      </c>
      <c r="G170" s="20">
        <f>SUMIF(Book!$G:$G,$B170,Book!M:M)</f>
        <v>3037.5</v>
      </c>
      <c r="H170" s="20">
        <f>SUMIF(Book!$G:$G,$B170,Book!N:N)</f>
        <v>3037.5</v>
      </c>
      <c r="I170" s="20">
        <f>SUMIF(Book!$G:$G,$B170,Book!O:O)</f>
        <v>0</v>
      </c>
      <c r="J170" s="18"/>
      <c r="K170" s="20">
        <f>SUMIF('GSTR-2B'!$G:$G,$B170,'GSTR-2B'!J:J)</f>
        <v>33750</v>
      </c>
      <c r="L170" s="20">
        <f>SUMIF('GSTR-2B'!$G:$G,$B170,'GSTR-2B'!L:L)</f>
        <v>0</v>
      </c>
      <c r="M170" s="20">
        <f>SUMIF('GSTR-2B'!$G:$G,$B170,'GSTR-2B'!M:M)</f>
        <v>3037.5</v>
      </c>
      <c r="N170" s="20">
        <f>SUMIF('GSTR-2B'!$G:$G,$B170,'GSTR-2B'!N:N)</f>
        <v>3037.5</v>
      </c>
      <c r="O170" s="20">
        <f>SUMIF('GSTR-2B'!$G:$G,$B170,'GSTR-2B'!O:O)</f>
        <v>0</v>
      </c>
      <c r="P170" s="20"/>
      <c r="Q170" s="20">
        <f t="shared" si="20"/>
        <v>0</v>
      </c>
      <c r="R170" s="20">
        <f t="shared" si="21"/>
        <v>0</v>
      </c>
      <c r="S170" s="20">
        <f t="shared" si="22"/>
        <v>0</v>
      </c>
      <c r="T170" s="20">
        <f t="shared" si="23"/>
        <v>0</v>
      </c>
      <c r="U170" s="20">
        <f>SUMIF('GSTR-2B'!$G:$G,$B170,'GSTR-2B'!U:U)</f>
        <v>0</v>
      </c>
      <c r="V170" s="21"/>
      <c r="W170" s="22" t="str">
        <f>VLOOKUP(A170,'GST Wise Reco'!$A$3:$T$34,20,0)</f>
        <v>Book And 2B Match</v>
      </c>
      <c r="X170" t="s">
        <v>29</v>
      </c>
      <c r="Y170" t="s">
        <v>29</v>
      </c>
    </row>
    <row r="171" spans="1:25" x14ac:dyDescent="0.3">
      <c r="A171" s="18" t="s">
        <v>80</v>
      </c>
      <c r="B171" s="18" t="s">
        <v>448</v>
      </c>
      <c r="C171" s="18"/>
      <c r="D171" s="18"/>
      <c r="E171" s="20">
        <f>SUMIF(Book!$G:$G,$B171,Book!J:J)</f>
        <v>-31250</v>
      </c>
      <c r="F171" s="20">
        <f>SUMIF(Book!$G:$G,$B171,Book!L:L)</f>
        <v>0</v>
      </c>
      <c r="G171" s="20">
        <f>SUMIF(Book!$G:$G,$B171,Book!M:M)</f>
        <v>-2812.5</v>
      </c>
      <c r="H171" s="20">
        <f>SUMIF(Book!$G:$G,$B171,Book!N:N)</f>
        <v>-2812.5</v>
      </c>
      <c r="I171" s="20">
        <f>SUMIF(Book!$G:$G,$B171,Book!O:O)</f>
        <v>0</v>
      </c>
      <c r="J171" s="18"/>
      <c r="K171" s="20">
        <f>SUMIF('GSTR-2B'!$G:$G,$B171,'GSTR-2B'!J:J)</f>
        <v>0</v>
      </c>
      <c r="L171" s="20">
        <f>SUMIF('GSTR-2B'!$G:$G,$B171,'GSTR-2B'!L:L)</f>
        <v>0</v>
      </c>
      <c r="M171" s="20">
        <f>SUMIF('GSTR-2B'!$G:$G,$B171,'GSTR-2B'!M:M)</f>
        <v>0</v>
      </c>
      <c r="N171" s="20">
        <f>SUMIF('GSTR-2B'!$G:$G,$B171,'GSTR-2B'!N:N)</f>
        <v>0</v>
      </c>
      <c r="O171" s="20">
        <f>SUMIF('GSTR-2B'!$G:$G,$B171,'GSTR-2B'!O:O)</f>
        <v>0</v>
      </c>
      <c r="P171" s="20"/>
      <c r="Q171" s="20">
        <f t="shared" si="20"/>
        <v>-31250</v>
      </c>
      <c r="R171" s="20">
        <f t="shared" si="21"/>
        <v>0</v>
      </c>
      <c r="S171" s="20">
        <f t="shared" si="22"/>
        <v>-2812.5</v>
      </c>
      <c r="T171" s="20">
        <f t="shared" si="23"/>
        <v>-2812.5</v>
      </c>
      <c r="U171" s="20">
        <f>SUMIF('GSTR-2B'!$G:$G,$B171,'GSTR-2B'!U:U)</f>
        <v>0</v>
      </c>
      <c r="V171" s="21"/>
      <c r="W171" s="22" t="str">
        <f>VLOOKUP(A171,'GST Wise Reco'!$A$3:$T$34,20,0)</f>
        <v>Book And 2B Match</v>
      </c>
      <c r="X171" t="s">
        <v>482</v>
      </c>
      <c r="Y171" t="s">
        <v>482</v>
      </c>
    </row>
    <row r="172" spans="1:25" x14ac:dyDescent="0.3">
      <c r="A172" s="18" t="s">
        <v>80</v>
      </c>
      <c r="B172" s="18" t="s">
        <v>474</v>
      </c>
      <c r="C172" s="18"/>
      <c r="D172" s="18"/>
      <c r="E172" s="20">
        <f>SUMIF(Book!$G:$G,$B172,Book!J:J)</f>
        <v>0</v>
      </c>
      <c r="F172" s="20">
        <f>SUMIF(Book!$G:$G,$B172,Book!L:L)</f>
        <v>0</v>
      </c>
      <c r="G172" s="20">
        <f>SUMIF(Book!$G:$G,$B172,Book!M:M)</f>
        <v>0</v>
      </c>
      <c r="H172" s="20">
        <f>SUMIF(Book!$G:$G,$B172,Book!N:N)</f>
        <v>0</v>
      </c>
      <c r="I172" s="20">
        <f>SUMIF(Book!$G:$G,$B172,Book!O:O)</f>
        <v>0</v>
      </c>
      <c r="J172" s="18"/>
      <c r="K172" s="20">
        <f>SUMIF('GSTR-2B'!$G:$G,$B172,'GSTR-2B'!J:J)</f>
        <v>-31250</v>
      </c>
      <c r="L172" s="20">
        <f>SUMIF('GSTR-2B'!$G:$G,$B172,'GSTR-2B'!L:L)</f>
        <v>0</v>
      </c>
      <c r="M172" s="20">
        <f>SUMIF('GSTR-2B'!$G:$G,$B172,'GSTR-2B'!M:M)</f>
        <v>-2812.5</v>
      </c>
      <c r="N172" s="20">
        <f>SUMIF('GSTR-2B'!$G:$G,$B172,'GSTR-2B'!N:N)</f>
        <v>-2812.5</v>
      </c>
      <c r="O172" s="20">
        <f>SUMIF('GSTR-2B'!$G:$G,$B172,'GSTR-2B'!O:O)</f>
        <v>0</v>
      </c>
      <c r="P172" s="20"/>
      <c r="Q172" s="20">
        <f t="shared" si="20"/>
        <v>31250</v>
      </c>
      <c r="R172" s="20">
        <f t="shared" si="21"/>
        <v>0</v>
      </c>
      <c r="S172" s="20">
        <f t="shared" si="22"/>
        <v>2812.5</v>
      </c>
      <c r="T172" s="20">
        <f t="shared" si="23"/>
        <v>2812.5</v>
      </c>
      <c r="U172" s="20">
        <f>SUMIF('GSTR-2B'!$G:$G,$B172,'GSTR-2B'!U:U)</f>
        <v>0</v>
      </c>
      <c r="V172" s="21"/>
      <c r="W172" s="22" t="str">
        <f>VLOOKUP(A172,'GST Wise Reco'!$A$3:$T$34,20,0)</f>
        <v>Book And 2B Match</v>
      </c>
      <c r="X172" t="s">
        <v>482</v>
      </c>
      <c r="Y172" t="s">
        <v>482</v>
      </c>
    </row>
    <row r="173" spans="1:25" x14ac:dyDescent="0.3">
      <c r="A173" s="18" t="s">
        <v>68</v>
      </c>
      <c r="B173" s="18" t="s">
        <v>307</v>
      </c>
      <c r="C173" s="18"/>
      <c r="D173" s="18"/>
      <c r="E173" s="20">
        <f>SUMIF(Book!$G:$G,$B173,Book!J:J)</f>
        <v>531854.78</v>
      </c>
      <c r="F173" s="20">
        <f>SUMIF(Book!$G:$G,$B173,Book!L:L)</f>
        <v>0</v>
      </c>
      <c r="G173" s="20">
        <f>SUMIF(Book!$G:$G,$B173,Book!M:M)</f>
        <v>47866.93</v>
      </c>
      <c r="H173" s="20">
        <f>SUMIF(Book!$G:$G,$B173,Book!N:N)</f>
        <v>47866.93</v>
      </c>
      <c r="I173" s="20">
        <f>SUMIF(Book!$G:$G,$B173,Book!O:O)</f>
        <v>0</v>
      </c>
      <c r="J173" s="18"/>
      <c r="K173" s="20">
        <f>SUMIF('GSTR-2B'!$G:$G,$B173,'GSTR-2B'!J:J)</f>
        <v>531854.78</v>
      </c>
      <c r="L173" s="20">
        <f>SUMIF('GSTR-2B'!$G:$G,$B173,'GSTR-2B'!L:L)</f>
        <v>0</v>
      </c>
      <c r="M173" s="20">
        <f>SUMIF('GSTR-2B'!$G:$G,$B173,'GSTR-2B'!M:M)</f>
        <v>47866.93</v>
      </c>
      <c r="N173" s="20">
        <f>SUMIF('GSTR-2B'!$G:$G,$B173,'GSTR-2B'!N:N)</f>
        <v>47866.93</v>
      </c>
      <c r="O173" s="20">
        <f>SUMIF('GSTR-2B'!$G:$G,$B173,'GSTR-2B'!O:O)</f>
        <v>0</v>
      </c>
      <c r="P173" s="20"/>
      <c r="Q173" s="20">
        <f t="shared" si="20"/>
        <v>0</v>
      </c>
      <c r="R173" s="20">
        <f t="shared" si="21"/>
        <v>0</v>
      </c>
      <c r="S173" s="20">
        <f t="shared" si="22"/>
        <v>0</v>
      </c>
      <c r="T173" s="20">
        <f t="shared" si="23"/>
        <v>0</v>
      </c>
      <c r="U173" s="20">
        <f>SUMIF('GSTR-2B'!$G:$G,$B173,'GSTR-2B'!U:U)</f>
        <v>0</v>
      </c>
      <c r="V173" s="21"/>
      <c r="W173" s="22" t="str">
        <f>VLOOKUP(A173,'GST Wise Reco'!$A$3:$T$34,20,0)</f>
        <v>Book And 2B Match</v>
      </c>
      <c r="X173" t="s">
        <v>29</v>
      </c>
      <c r="Y173" t="s">
        <v>29</v>
      </c>
    </row>
    <row r="174" spans="1:25" x14ac:dyDescent="0.3">
      <c r="A174" s="18" t="s">
        <v>68</v>
      </c>
      <c r="B174" s="18" t="s">
        <v>314</v>
      </c>
      <c r="C174" s="18"/>
      <c r="D174" s="18"/>
      <c r="E174" s="20">
        <f>SUMIF(Book!$G:$G,$B174,Book!J:J)</f>
        <v>149197.71</v>
      </c>
      <c r="F174" s="20">
        <f>SUMIF(Book!$G:$G,$B174,Book!L:L)</f>
        <v>0</v>
      </c>
      <c r="G174" s="20">
        <f>SUMIF(Book!$G:$G,$B174,Book!M:M)</f>
        <v>13427.79</v>
      </c>
      <c r="H174" s="20">
        <f>SUMIF(Book!$G:$G,$B174,Book!N:N)</f>
        <v>13427.79</v>
      </c>
      <c r="I174" s="20">
        <f>SUMIF(Book!$G:$G,$B174,Book!O:O)</f>
        <v>0</v>
      </c>
      <c r="J174" s="18"/>
      <c r="K174" s="20">
        <f>SUMIF('GSTR-2B'!$G:$G,$B174,'GSTR-2B'!J:J)</f>
        <v>149197.70000000001</v>
      </c>
      <c r="L174" s="20">
        <f>SUMIF('GSTR-2B'!$G:$G,$B174,'GSTR-2B'!L:L)</f>
        <v>0</v>
      </c>
      <c r="M174" s="20">
        <f>SUMIF('GSTR-2B'!$G:$G,$B174,'GSTR-2B'!M:M)</f>
        <v>13427.8</v>
      </c>
      <c r="N174" s="20">
        <f>SUMIF('GSTR-2B'!$G:$G,$B174,'GSTR-2B'!N:N)</f>
        <v>13427.8</v>
      </c>
      <c r="O174" s="20">
        <f>SUMIF('GSTR-2B'!$G:$G,$B174,'GSTR-2B'!O:O)</f>
        <v>0</v>
      </c>
      <c r="P174" s="20"/>
      <c r="Q174" s="20">
        <f t="shared" si="20"/>
        <v>9.9999999802093953E-3</v>
      </c>
      <c r="R174" s="20">
        <f t="shared" si="21"/>
        <v>0</v>
      </c>
      <c r="S174" s="20">
        <f t="shared" si="22"/>
        <v>-9.9999999983992893E-3</v>
      </c>
      <c r="T174" s="20">
        <f t="shared" si="23"/>
        <v>-9.9999999983992893E-3</v>
      </c>
      <c r="U174" s="20">
        <f>SUMIF('GSTR-2B'!$G:$G,$B174,'GSTR-2B'!U:U)</f>
        <v>0</v>
      </c>
      <c r="V174" s="21"/>
      <c r="W174" s="22" t="str">
        <f>VLOOKUP(A174,'GST Wise Reco'!$A$3:$T$34,20,0)</f>
        <v>Book And 2B Match</v>
      </c>
      <c r="X174" t="s">
        <v>29</v>
      </c>
      <c r="Y174" t="s">
        <v>29</v>
      </c>
    </row>
    <row r="175" spans="1:25" x14ac:dyDescent="0.3">
      <c r="A175" s="18" t="s">
        <v>68</v>
      </c>
      <c r="B175" s="18" t="s">
        <v>329</v>
      </c>
      <c r="C175" s="18"/>
      <c r="D175" s="18"/>
      <c r="E175" s="20">
        <f>SUMIF(Book!$G:$G,$B175,Book!J:J)</f>
        <v>530242.22</v>
      </c>
      <c r="F175" s="20">
        <f>SUMIF(Book!$G:$G,$B175,Book!L:L)</f>
        <v>0</v>
      </c>
      <c r="G175" s="20">
        <f>SUMIF(Book!$G:$G,$B175,Book!M:M)</f>
        <v>47721.8</v>
      </c>
      <c r="H175" s="20">
        <f>SUMIF(Book!$G:$G,$B175,Book!N:N)</f>
        <v>47721.8</v>
      </c>
      <c r="I175" s="20">
        <f>SUMIF(Book!$G:$G,$B175,Book!O:O)</f>
        <v>0</v>
      </c>
      <c r="J175" s="18"/>
      <c r="K175" s="20">
        <f>SUMIF('GSTR-2B'!$G:$G,$B175,'GSTR-2B'!J:J)</f>
        <v>530242.22</v>
      </c>
      <c r="L175" s="20">
        <f>SUMIF('GSTR-2B'!$G:$G,$B175,'GSTR-2B'!L:L)</f>
        <v>0</v>
      </c>
      <c r="M175" s="20">
        <f>SUMIF('GSTR-2B'!$G:$G,$B175,'GSTR-2B'!M:M)</f>
        <v>47721.8</v>
      </c>
      <c r="N175" s="20">
        <f>SUMIF('GSTR-2B'!$G:$G,$B175,'GSTR-2B'!N:N)</f>
        <v>47721.8</v>
      </c>
      <c r="O175" s="20">
        <f>SUMIF('GSTR-2B'!$G:$G,$B175,'GSTR-2B'!O:O)</f>
        <v>0</v>
      </c>
      <c r="P175" s="20"/>
      <c r="Q175" s="20">
        <f t="shared" si="20"/>
        <v>0</v>
      </c>
      <c r="R175" s="20">
        <f t="shared" si="21"/>
        <v>0</v>
      </c>
      <c r="S175" s="20">
        <f t="shared" si="22"/>
        <v>0</v>
      </c>
      <c r="T175" s="20">
        <f t="shared" si="23"/>
        <v>0</v>
      </c>
      <c r="U175" s="20">
        <f>SUMIF('GSTR-2B'!$G:$G,$B175,'GSTR-2B'!U:U)</f>
        <v>0</v>
      </c>
      <c r="V175" s="21"/>
      <c r="W175" s="22" t="str">
        <f>VLOOKUP(A175,'GST Wise Reco'!$A$3:$T$34,20,0)</f>
        <v>Book And 2B Match</v>
      </c>
      <c r="X175" t="s">
        <v>29</v>
      </c>
      <c r="Y175" t="s">
        <v>29</v>
      </c>
    </row>
    <row r="176" spans="1:25" x14ac:dyDescent="0.3">
      <c r="A176" s="18" t="s">
        <v>68</v>
      </c>
      <c r="B176" s="18" t="s">
        <v>336</v>
      </c>
      <c r="C176" s="18"/>
      <c r="D176" s="18"/>
      <c r="E176" s="20">
        <f>SUMIF(Book!$G:$G,$B176,Book!J:J)</f>
        <v>368918.85</v>
      </c>
      <c r="F176" s="20">
        <f>SUMIF(Book!$G:$G,$B176,Book!L:L)</f>
        <v>0</v>
      </c>
      <c r="G176" s="20">
        <f>SUMIF(Book!$G:$G,$B176,Book!M:M)</f>
        <v>33202.699999999997</v>
      </c>
      <c r="H176" s="20">
        <f>SUMIF(Book!$G:$G,$B176,Book!N:N)</f>
        <v>33202.699999999997</v>
      </c>
      <c r="I176" s="20">
        <f>SUMIF(Book!$G:$G,$B176,Book!O:O)</f>
        <v>0</v>
      </c>
      <c r="J176" s="18"/>
      <c r="K176" s="20">
        <f>SUMIF('GSTR-2B'!$G:$G,$B176,'GSTR-2B'!J:J)</f>
        <v>368918.85</v>
      </c>
      <c r="L176" s="20">
        <f>SUMIF('GSTR-2B'!$G:$G,$B176,'GSTR-2B'!L:L)</f>
        <v>0</v>
      </c>
      <c r="M176" s="20">
        <f>SUMIF('GSTR-2B'!$G:$G,$B176,'GSTR-2B'!M:M)</f>
        <v>33202.699999999997</v>
      </c>
      <c r="N176" s="20">
        <f>SUMIF('GSTR-2B'!$G:$G,$B176,'GSTR-2B'!N:N)</f>
        <v>33202.699999999997</v>
      </c>
      <c r="O176" s="20">
        <f>SUMIF('GSTR-2B'!$G:$G,$B176,'GSTR-2B'!O:O)</f>
        <v>0</v>
      </c>
      <c r="P176" s="20"/>
      <c r="Q176" s="20">
        <f t="shared" si="20"/>
        <v>0</v>
      </c>
      <c r="R176" s="20">
        <f t="shared" si="21"/>
        <v>0</v>
      </c>
      <c r="S176" s="20">
        <f t="shared" si="22"/>
        <v>0</v>
      </c>
      <c r="T176" s="20">
        <f t="shared" si="23"/>
        <v>0</v>
      </c>
      <c r="U176" s="20">
        <f>SUMIF('GSTR-2B'!$G:$G,$B176,'GSTR-2B'!U:U)</f>
        <v>0</v>
      </c>
      <c r="V176" s="21"/>
      <c r="W176" s="22" t="str">
        <f>VLOOKUP(A176,'GST Wise Reco'!$A$3:$T$34,20,0)</f>
        <v>Book And 2B Match</v>
      </c>
      <c r="X176" t="s">
        <v>29</v>
      </c>
      <c r="Y176" t="s">
        <v>29</v>
      </c>
    </row>
    <row r="177" spans="1:25" x14ac:dyDescent="0.3">
      <c r="A177" s="18" t="s">
        <v>68</v>
      </c>
      <c r="B177" s="18" t="s">
        <v>346</v>
      </c>
      <c r="C177" s="18"/>
      <c r="D177" s="18"/>
      <c r="E177" s="20">
        <f>SUMIF(Book!$G:$G,$B177,Book!J:J)</f>
        <v>446626.29</v>
      </c>
      <c r="F177" s="20">
        <f>SUMIF(Book!$G:$G,$B177,Book!L:L)</f>
        <v>0</v>
      </c>
      <c r="G177" s="20">
        <f>SUMIF(Book!$G:$G,$B177,Book!M:M)</f>
        <v>40196.370000000003</v>
      </c>
      <c r="H177" s="20">
        <f>SUMIF(Book!$G:$G,$B177,Book!N:N)</f>
        <v>40196.370000000003</v>
      </c>
      <c r="I177" s="20">
        <f>SUMIF(Book!$G:$G,$B177,Book!O:O)</f>
        <v>0</v>
      </c>
      <c r="J177" s="18"/>
      <c r="K177" s="20">
        <f>SUMIF('GSTR-2B'!$G:$G,$B177,'GSTR-2B'!J:J)</f>
        <v>446626.29</v>
      </c>
      <c r="L177" s="20">
        <f>SUMIF('GSTR-2B'!$G:$G,$B177,'GSTR-2B'!L:L)</f>
        <v>0</v>
      </c>
      <c r="M177" s="20">
        <f>SUMIF('GSTR-2B'!$G:$G,$B177,'GSTR-2B'!M:M)</f>
        <v>40196.370000000003</v>
      </c>
      <c r="N177" s="20">
        <f>SUMIF('GSTR-2B'!$G:$G,$B177,'GSTR-2B'!N:N)</f>
        <v>40196.370000000003</v>
      </c>
      <c r="O177" s="20">
        <f>SUMIF('GSTR-2B'!$G:$G,$B177,'GSTR-2B'!O:O)</f>
        <v>0</v>
      </c>
      <c r="P177" s="20"/>
      <c r="Q177" s="20">
        <f t="shared" si="20"/>
        <v>0</v>
      </c>
      <c r="R177" s="20">
        <f t="shared" si="21"/>
        <v>0</v>
      </c>
      <c r="S177" s="20">
        <f t="shared" si="22"/>
        <v>0</v>
      </c>
      <c r="T177" s="20">
        <f t="shared" si="23"/>
        <v>0</v>
      </c>
      <c r="U177" s="20">
        <f>SUMIF('GSTR-2B'!$G:$G,$B177,'GSTR-2B'!U:U)</f>
        <v>0</v>
      </c>
      <c r="V177" s="21"/>
      <c r="W177" s="22" t="str">
        <f>VLOOKUP(A177,'GST Wise Reco'!$A$3:$T$34,20,0)</f>
        <v>Book And 2B Match</v>
      </c>
      <c r="X177" t="s">
        <v>29</v>
      </c>
      <c r="Y177" t="s">
        <v>29</v>
      </c>
    </row>
    <row r="178" spans="1:25" x14ac:dyDescent="0.3">
      <c r="A178" s="18" t="s">
        <v>68</v>
      </c>
      <c r="B178" s="18" t="s">
        <v>351</v>
      </c>
      <c r="C178" s="18"/>
      <c r="D178" s="18"/>
      <c r="E178" s="20">
        <f>SUMIF(Book!$G:$G,$B178,Book!J:J)</f>
        <v>235431.83</v>
      </c>
      <c r="F178" s="20">
        <f>SUMIF(Book!$G:$G,$B178,Book!L:L)</f>
        <v>0</v>
      </c>
      <c r="G178" s="20">
        <f>SUMIF(Book!$G:$G,$B178,Book!M:M)</f>
        <v>21188.86</v>
      </c>
      <c r="H178" s="20">
        <f>SUMIF(Book!$G:$G,$B178,Book!N:N)</f>
        <v>21188.86</v>
      </c>
      <c r="I178" s="20">
        <f>SUMIF(Book!$G:$G,$B178,Book!O:O)</f>
        <v>0</v>
      </c>
      <c r="J178" s="18"/>
      <c r="K178" s="20">
        <f>SUMIF('GSTR-2B'!$G:$G,$B178,'GSTR-2B'!J:J)</f>
        <v>0</v>
      </c>
      <c r="L178" s="20">
        <f>SUMIF('GSTR-2B'!$G:$G,$B178,'GSTR-2B'!L:L)</f>
        <v>0</v>
      </c>
      <c r="M178" s="20">
        <f>SUMIF('GSTR-2B'!$G:$G,$B178,'GSTR-2B'!M:M)</f>
        <v>0</v>
      </c>
      <c r="N178" s="20">
        <f>SUMIF('GSTR-2B'!$G:$G,$B178,'GSTR-2B'!N:N)</f>
        <v>0</v>
      </c>
      <c r="O178" s="20">
        <f>SUMIF('GSTR-2B'!$G:$G,$B178,'GSTR-2B'!O:O)</f>
        <v>0</v>
      </c>
      <c r="P178" s="20"/>
      <c r="Q178" s="20">
        <f t="shared" si="20"/>
        <v>235431.83</v>
      </c>
      <c r="R178" s="20">
        <f t="shared" si="21"/>
        <v>0</v>
      </c>
      <c r="S178" s="20">
        <f t="shared" si="22"/>
        <v>21188.86</v>
      </c>
      <c r="T178" s="20">
        <f t="shared" si="23"/>
        <v>21188.86</v>
      </c>
      <c r="U178" s="20">
        <f>SUMIF('GSTR-2B'!$G:$G,$B178,'GSTR-2B'!U:U)</f>
        <v>0</v>
      </c>
      <c r="V178" s="21"/>
      <c r="W178" s="22" t="str">
        <f>VLOOKUP(A178,'GST Wise Reco'!$A$3:$T$34,20,0)</f>
        <v>Book And 2B Match</v>
      </c>
      <c r="X178" t="s">
        <v>482</v>
      </c>
      <c r="Y178" t="s">
        <v>29</v>
      </c>
    </row>
    <row r="179" spans="1:25" x14ac:dyDescent="0.3">
      <c r="A179" s="18" t="s">
        <v>68</v>
      </c>
      <c r="B179" s="18" t="s">
        <v>357</v>
      </c>
      <c r="C179" s="18"/>
      <c r="D179" s="18"/>
      <c r="E179" s="20">
        <f>SUMIF(Book!$G:$G,$B179,Book!J:J)</f>
        <v>57033.75</v>
      </c>
      <c r="F179" s="20">
        <f>SUMIF(Book!$G:$G,$B179,Book!L:L)</f>
        <v>0</v>
      </c>
      <c r="G179" s="20">
        <f>SUMIF(Book!$G:$G,$B179,Book!M:M)</f>
        <v>5133.04</v>
      </c>
      <c r="H179" s="20">
        <f>SUMIF(Book!$G:$G,$B179,Book!N:N)</f>
        <v>5133.04</v>
      </c>
      <c r="I179" s="20">
        <f>SUMIF(Book!$G:$G,$B179,Book!O:O)</f>
        <v>0</v>
      </c>
      <c r="J179" s="18"/>
      <c r="K179" s="20">
        <f>SUMIF('GSTR-2B'!$G:$G,$B179,'GSTR-2B'!J:J)</f>
        <v>57033.75</v>
      </c>
      <c r="L179" s="20">
        <f>SUMIF('GSTR-2B'!$G:$G,$B179,'GSTR-2B'!L:L)</f>
        <v>0</v>
      </c>
      <c r="M179" s="20">
        <f>SUMIF('GSTR-2B'!$G:$G,$B179,'GSTR-2B'!M:M)</f>
        <v>5133.04</v>
      </c>
      <c r="N179" s="20">
        <f>SUMIF('GSTR-2B'!$G:$G,$B179,'GSTR-2B'!N:N)</f>
        <v>5133.04</v>
      </c>
      <c r="O179" s="20">
        <f>SUMIF('GSTR-2B'!$G:$G,$B179,'GSTR-2B'!O:O)</f>
        <v>0</v>
      </c>
      <c r="P179" s="20"/>
      <c r="Q179" s="20">
        <f t="shared" si="20"/>
        <v>0</v>
      </c>
      <c r="R179" s="20">
        <f t="shared" si="21"/>
        <v>0</v>
      </c>
      <c r="S179" s="20">
        <f t="shared" si="22"/>
        <v>0</v>
      </c>
      <c r="T179" s="20">
        <f t="shared" si="23"/>
        <v>0</v>
      </c>
      <c r="U179" s="20">
        <f>SUMIF('GSTR-2B'!$G:$G,$B179,'GSTR-2B'!U:U)</f>
        <v>0</v>
      </c>
      <c r="V179" s="21"/>
      <c r="W179" s="22" t="str">
        <f>VLOOKUP(A179,'GST Wise Reco'!$A$3:$T$34,20,0)</f>
        <v>Book And 2B Match</v>
      </c>
      <c r="X179" t="s">
        <v>29</v>
      </c>
      <c r="Y179" t="s">
        <v>29</v>
      </c>
    </row>
    <row r="180" spans="1:25" x14ac:dyDescent="0.3">
      <c r="A180" s="18" t="s">
        <v>68</v>
      </c>
      <c r="B180" s="18" t="s">
        <v>364</v>
      </c>
      <c r="C180" s="18"/>
      <c r="D180" s="18"/>
      <c r="E180" s="20">
        <f>SUMIF(Book!$G:$G,$B180,Book!J:J)</f>
        <v>158665.76999999999</v>
      </c>
      <c r="F180" s="20">
        <f>SUMIF(Book!$G:$G,$B180,Book!L:L)</f>
        <v>0</v>
      </c>
      <c r="G180" s="20">
        <f>SUMIF(Book!$G:$G,$B180,Book!M:M)</f>
        <v>14279.92</v>
      </c>
      <c r="H180" s="20">
        <f>SUMIF(Book!$G:$G,$B180,Book!N:N)</f>
        <v>14279.92</v>
      </c>
      <c r="I180" s="20">
        <f>SUMIF(Book!$G:$G,$B180,Book!O:O)</f>
        <v>0</v>
      </c>
      <c r="J180" s="18"/>
      <c r="K180" s="20">
        <f>SUMIF('GSTR-2B'!$G:$G,$B180,'GSTR-2B'!J:J)</f>
        <v>158665.76999999999</v>
      </c>
      <c r="L180" s="20">
        <f>SUMIF('GSTR-2B'!$G:$G,$B180,'GSTR-2B'!L:L)</f>
        <v>0</v>
      </c>
      <c r="M180" s="20">
        <f>SUMIF('GSTR-2B'!$G:$G,$B180,'GSTR-2B'!M:M)</f>
        <v>14279.92</v>
      </c>
      <c r="N180" s="20">
        <f>SUMIF('GSTR-2B'!$G:$G,$B180,'GSTR-2B'!N:N)</f>
        <v>14279.92</v>
      </c>
      <c r="O180" s="20">
        <f>SUMIF('GSTR-2B'!$G:$G,$B180,'GSTR-2B'!O:O)</f>
        <v>0</v>
      </c>
      <c r="P180" s="20"/>
      <c r="Q180" s="20">
        <f t="shared" si="20"/>
        <v>0</v>
      </c>
      <c r="R180" s="20">
        <f t="shared" si="21"/>
        <v>0</v>
      </c>
      <c r="S180" s="20">
        <f t="shared" si="22"/>
        <v>0</v>
      </c>
      <c r="T180" s="20">
        <f t="shared" si="23"/>
        <v>0</v>
      </c>
      <c r="U180" s="20">
        <f>SUMIF('GSTR-2B'!$G:$G,$B180,'GSTR-2B'!U:U)</f>
        <v>0</v>
      </c>
      <c r="V180" s="21"/>
      <c r="W180" s="22" t="str">
        <f>VLOOKUP(A180,'GST Wise Reco'!$A$3:$T$34,20,0)</f>
        <v>Book And 2B Match</v>
      </c>
      <c r="X180" t="s">
        <v>29</v>
      </c>
      <c r="Y180" t="s">
        <v>29</v>
      </c>
    </row>
    <row r="181" spans="1:25" x14ac:dyDescent="0.3">
      <c r="A181" s="18" t="s">
        <v>68</v>
      </c>
      <c r="B181" s="18" t="s">
        <v>378</v>
      </c>
      <c r="C181" s="18"/>
      <c r="D181" s="18"/>
      <c r="E181" s="20">
        <f>SUMIF(Book!$G:$G,$B181,Book!J:J)</f>
        <v>32963.47</v>
      </c>
      <c r="F181" s="20">
        <f>SUMIF(Book!$G:$G,$B181,Book!L:L)</f>
        <v>0</v>
      </c>
      <c r="G181" s="20">
        <f>SUMIF(Book!$G:$G,$B181,Book!M:M)</f>
        <v>2966.71</v>
      </c>
      <c r="H181" s="20">
        <f>SUMIF(Book!$G:$G,$B181,Book!N:N)</f>
        <v>2966.71</v>
      </c>
      <c r="I181" s="20">
        <f>SUMIF(Book!$G:$G,$B181,Book!O:O)</f>
        <v>0</v>
      </c>
      <c r="J181" s="18"/>
      <c r="K181" s="20">
        <f>SUMIF('GSTR-2B'!$G:$G,$B181,'GSTR-2B'!J:J)</f>
        <v>32963.47</v>
      </c>
      <c r="L181" s="20">
        <f>SUMIF('GSTR-2B'!$G:$G,$B181,'GSTR-2B'!L:L)</f>
        <v>0</v>
      </c>
      <c r="M181" s="20">
        <f>SUMIF('GSTR-2B'!$G:$G,$B181,'GSTR-2B'!M:M)</f>
        <v>2966.71</v>
      </c>
      <c r="N181" s="20">
        <f>SUMIF('GSTR-2B'!$G:$G,$B181,'GSTR-2B'!N:N)</f>
        <v>2966.71</v>
      </c>
      <c r="O181" s="20">
        <f>SUMIF('GSTR-2B'!$G:$G,$B181,'GSTR-2B'!O:O)</f>
        <v>0</v>
      </c>
      <c r="P181" s="20"/>
      <c r="Q181" s="20">
        <f t="shared" si="20"/>
        <v>0</v>
      </c>
      <c r="R181" s="20">
        <f t="shared" si="21"/>
        <v>0</v>
      </c>
      <c r="S181" s="20">
        <f t="shared" si="22"/>
        <v>0</v>
      </c>
      <c r="T181" s="20">
        <f t="shared" si="23"/>
        <v>0</v>
      </c>
      <c r="U181" s="20">
        <f>SUMIF('GSTR-2B'!$G:$G,$B181,'GSTR-2B'!U:U)</f>
        <v>0</v>
      </c>
      <c r="V181" s="21"/>
      <c r="W181" s="22" t="str">
        <f>VLOOKUP(A181,'GST Wise Reco'!$A$3:$T$34,20,0)</f>
        <v>Book And 2B Match</v>
      </c>
      <c r="X181" t="s">
        <v>29</v>
      </c>
      <c r="Y181" t="s">
        <v>29</v>
      </c>
    </row>
    <row r="182" spans="1:25" x14ac:dyDescent="0.3">
      <c r="A182" s="18" t="s">
        <v>68</v>
      </c>
      <c r="B182" s="18" t="s">
        <v>398</v>
      </c>
      <c r="C182" s="18"/>
      <c r="D182" s="18"/>
      <c r="E182" s="20">
        <f>SUMIF(Book!$G:$G,$B182,Book!J:J)</f>
        <v>57695.29</v>
      </c>
      <c r="F182" s="20">
        <f>SUMIF(Book!$G:$G,$B182,Book!L:L)</f>
        <v>0</v>
      </c>
      <c r="G182" s="20">
        <f>SUMIF(Book!$G:$G,$B182,Book!M:M)</f>
        <v>5192.58</v>
      </c>
      <c r="H182" s="20">
        <f>SUMIF(Book!$G:$G,$B182,Book!N:N)</f>
        <v>5192.58</v>
      </c>
      <c r="I182" s="20">
        <f>SUMIF(Book!$G:$G,$B182,Book!O:O)</f>
        <v>0</v>
      </c>
      <c r="J182" s="18"/>
      <c r="K182" s="20">
        <f>SUMIF('GSTR-2B'!$G:$G,$B182,'GSTR-2B'!J:J)</f>
        <v>57695.29</v>
      </c>
      <c r="L182" s="20">
        <f>SUMIF('GSTR-2B'!$G:$G,$B182,'GSTR-2B'!L:L)</f>
        <v>0</v>
      </c>
      <c r="M182" s="20">
        <f>SUMIF('GSTR-2B'!$G:$G,$B182,'GSTR-2B'!M:M)</f>
        <v>5192.58</v>
      </c>
      <c r="N182" s="20">
        <f>SUMIF('GSTR-2B'!$G:$G,$B182,'GSTR-2B'!N:N)</f>
        <v>5192.58</v>
      </c>
      <c r="O182" s="20">
        <f>SUMIF('GSTR-2B'!$G:$G,$B182,'GSTR-2B'!O:O)</f>
        <v>0</v>
      </c>
      <c r="P182" s="20"/>
      <c r="Q182" s="20">
        <f t="shared" si="20"/>
        <v>0</v>
      </c>
      <c r="R182" s="20">
        <f t="shared" si="21"/>
        <v>0</v>
      </c>
      <c r="S182" s="20">
        <f t="shared" si="22"/>
        <v>0</v>
      </c>
      <c r="T182" s="20">
        <f t="shared" si="23"/>
        <v>0</v>
      </c>
      <c r="U182" s="20">
        <f>SUMIF('GSTR-2B'!$G:$G,$B182,'GSTR-2B'!U:U)</f>
        <v>0</v>
      </c>
      <c r="V182" s="21"/>
      <c r="W182" s="22" t="str">
        <f>VLOOKUP(A182,'GST Wise Reco'!$A$3:$T$34,20,0)</f>
        <v>Book And 2B Match</v>
      </c>
      <c r="X182" t="s">
        <v>29</v>
      </c>
      <c r="Y182" t="s">
        <v>29</v>
      </c>
    </row>
    <row r="183" spans="1:25" x14ac:dyDescent="0.3">
      <c r="A183" s="18" t="s">
        <v>68</v>
      </c>
      <c r="B183" s="18" t="s">
        <v>466</v>
      </c>
      <c r="C183" s="18"/>
      <c r="D183" s="18"/>
      <c r="E183" s="20">
        <f>SUMIF(Book!$G:$G,$B183,Book!J:J)</f>
        <v>0</v>
      </c>
      <c r="F183" s="20">
        <f>SUMIF(Book!$G:$G,$B183,Book!L:L)</f>
        <v>0</v>
      </c>
      <c r="G183" s="20">
        <f>SUMIF(Book!$G:$G,$B183,Book!M:M)</f>
        <v>0</v>
      </c>
      <c r="H183" s="20">
        <f>SUMIF(Book!$G:$G,$B183,Book!N:N)</f>
        <v>0</v>
      </c>
      <c r="I183" s="20">
        <f>SUMIF(Book!$G:$G,$B183,Book!O:O)</f>
        <v>0</v>
      </c>
      <c r="J183" s="18"/>
      <c r="K183" s="20">
        <f>SUMIF('GSTR-2B'!$G:$G,$B183,'GSTR-2B'!J:J)</f>
        <v>235431.83</v>
      </c>
      <c r="L183" s="20">
        <f>SUMIF('GSTR-2B'!$G:$G,$B183,'GSTR-2B'!L:L)</f>
        <v>0</v>
      </c>
      <c r="M183" s="20">
        <f>SUMIF('GSTR-2B'!$G:$G,$B183,'GSTR-2B'!M:M)</f>
        <v>21188.86</v>
      </c>
      <c r="N183" s="20">
        <f>SUMIF('GSTR-2B'!$G:$G,$B183,'GSTR-2B'!N:N)</f>
        <v>21188.86</v>
      </c>
      <c r="O183" s="20">
        <f>SUMIF('GSTR-2B'!$G:$G,$B183,'GSTR-2B'!O:O)</f>
        <v>0</v>
      </c>
      <c r="P183" s="20"/>
      <c r="Q183" s="20">
        <f t="shared" si="20"/>
        <v>-235431.83</v>
      </c>
      <c r="R183" s="20">
        <f t="shared" si="21"/>
        <v>0</v>
      </c>
      <c r="S183" s="20">
        <f t="shared" si="22"/>
        <v>-21188.86</v>
      </c>
      <c r="T183" s="20">
        <f t="shared" si="23"/>
        <v>-21188.86</v>
      </c>
      <c r="U183" s="20">
        <f>SUMIF('GSTR-2B'!$G:$G,$B183,'GSTR-2B'!U:U)</f>
        <v>0</v>
      </c>
      <c r="V183" s="21"/>
      <c r="W183" s="22" t="str">
        <f>VLOOKUP(A183,'GST Wise Reco'!$A$3:$T$34,20,0)</f>
        <v>Book And 2B Match</v>
      </c>
      <c r="X183" t="s">
        <v>482</v>
      </c>
      <c r="Y183" t="s">
        <v>29</v>
      </c>
    </row>
    <row r="184" spans="1:25" x14ac:dyDescent="0.3">
      <c r="A184" s="18" t="s">
        <v>264</v>
      </c>
      <c r="B184" s="18" t="s">
        <v>471</v>
      </c>
      <c r="C184" s="18"/>
      <c r="D184" s="18"/>
      <c r="E184" s="20">
        <f>SUMIF(Book!$G:$G,$B184,Book!J:J)</f>
        <v>0</v>
      </c>
      <c r="F184" s="20">
        <f>SUMIF(Book!$G:$G,$B184,Book!L:L)</f>
        <v>0</v>
      </c>
      <c r="G184" s="20">
        <f>SUMIF(Book!$G:$G,$B184,Book!M:M)</f>
        <v>0</v>
      </c>
      <c r="H184" s="20">
        <f>SUMIF(Book!$G:$G,$B184,Book!N:N)</f>
        <v>0</v>
      </c>
      <c r="I184" s="20">
        <f>SUMIF(Book!$G:$G,$B184,Book!O:O)</f>
        <v>0</v>
      </c>
      <c r="J184" s="18"/>
      <c r="K184" s="20">
        <f>SUMIF('GSTR-2B'!$G:$G,$B184,'GSTR-2B'!J:J)</f>
        <v>312568</v>
      </c>
      <c r="L184" s="20">
        <f>SUMIF('GSTR-2B'!$G:$G,$B184,'GSTR-2B'!L:L)</f>
        <v>0</v>
      </c>
      <c r="M184" s="20">
        <f>SUMIF('GSTR-2B'!$G:$G,$B184,'GSTR-2B'!M:M)</f>
        <v>28131</v>
      </c>
      <c r="N184" s="20">
        <f>SUMIF('GSTR-2B'!$G:$G,$B184,'GSTR-2B'!N:N)</f>
        <v>28131</v>
      </c>
      <c r="O184" s="20">
        <f>SUMIF('GSTR-2B'!$G:$G,$B184,'GSTR-2B'!O:O)</f>
        <v>0</v>
      </c>
      <c r="P184" s="20"/>
      <c r="Q184" s="20">
        <f t="shared" si="20"/>
        <v>-312568</v>
      </c>
      <c r="R184" s="20">
        <f t="shared" si="21"/>
        <v>0</v>
      </c>
      <c r="S184" s="20">
        <f t="shared" si="22"/>
        <v>-28131</v>
      </c>
      <c r="T184" s="20">
        <f t="shared" si="23"/>
        <v>-28131</v>
      </c>
      <c r="U184" s="20">
        <f>SUMIF('GSTR-2B'!$G:$G,$B184,'GSTR-2B'!U:U)</f>
        <v>0</v>
      </c>
      <c r="V184" s="21"/>
      <c r="W184" s="22" t="str">
        <f>VLOOKUP(A184,'GST Wise Reco'!$A$3:$T$34,20,0)</f>
        <v xml:space="preserve">Only for the 2B </v>
      </c>
      <c r="X184" t="s">
        <v>32</v>
      </c>
      <c r="Y184" t="s">
        <v>32</v>
      </c>
    </row>
    <row r="185" spans="1:25" x14ac:dyDescent="0.3">
      <c r="A185" s="18"/>
      <c r="B185" s="18"/>
      <c r="C185" s="18"/>
      <c r="D185" s="18"/>
      <c r="E185" s="20"/>
      <c r="F185" s="20"/>
      <c r="G185" s="20"/>
      <c r="H185" s="20"/>
      <c r="I185" s="20"/>
      <c r="J185" s="18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1"/>
      <c r="W185" s="22"/>
    </row>
    <row r="188" spans="1:25" x14ac:dyDescent="0.3">
      <c r="E188" s="26">
        <f>SUM(E5:E187)</f>
        <v>304315798.86999989</v>
      </c>
      <c r="F188" s="26">
        <f t="shared" ref="F188:I188" si="24">SUM(F5:F187)</f>
        <v>47697574.880000003</v>
      </c>
      <c r="G188" s="26">
        <f t="shared" si="24"/>
        <v>3539638.47</v>
      </c>
      <c r="H188" s="26">
        <f t="shared" si="24"/>
        <v>3539638.47</v>
      </c>
      <c r="I188" s="26">
        <f t="shared" si="24"/>
        <v>0</v>
      </c>
      <c r="K188" s="26">
        <f t="shared" ref="K188" si="25">SUM(K5:K187)</f>
        <v>304526059.2899999</v>
      </c>
      <c r="L188" s="26">
        <f t="shared" ref="L188" si="26">SUM(L5:L187)</f>
        <v>47679159.540000007</v>
      </c>
      <c r="M188" s="26">
        <f t="shared" ref="M188" si="27">SUM(M5:M187)</f>
        <v>3567766.9600000004</v>
      </c>
      <c r="N188" s="26">
        <f t="shared" ref="N188" si="28">SUM(N5:N187)</f>
        <v>3567766.9600000004</v>
      </c>
      <c r="O188" s="26">
        <f t="shared" ref="O188" si="29">SUM(O5:O187)</f>
        <v>0</v>
      </c>
      <c r="Q188" s="26">
        <f t="shared" ref="Q188" si="30">SUM(Q5:Q187)</f>
        <v>-210260.42000000048</v>
      </c>
      <c r="R188" s="26">
        <f t="shared" ref="R188" si="31">SUM(R5:R187)</f>
        <v>18415.339999998629</v>
      </c>
      <c r="S188" s="26">
        <f t="shared" ref="S188" si="32">SUM(S5:S187)</f>
        <v>-28128.490000000013</v>
      </c>
      <c r="T188" s="26">
        <f t="shared" ref="T188" si="33">SUM(T5:T187)</f>
        <v>-28128.490000000013</v>
      </c>
      <c r="U188" s="26">
        <f t="shared" ref="U188" si="34">SUM(U5:U187)</f>
        <v>0</v>
      </c>
    </row>
  </sheetData>
  <autoFilter ref="A4:Y184" xr:uid="{AED112F7-B566-4212-A23F-DEB765E4BE43}"/>
  <mergeCells count="3">
    <mergeCell ref="E3:I3"/>
    <mergeCell ref="K3:O3"/>
    <mergeCell ref="Q3:U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4B40-1B65-4FE5-BDDA-8B4498E836C5}">
  <dimension ref="A1:Y384"/>
  <sheetViews>
    <sheetView tabSelected="1" topLeftCell="B1" workbookViewId="0">
      <selection activeCell="I3" sqref="I3"/>
    </sheetView>
  </sheetViews>
  <sheetFormatPr defaultRowHeight="14.4" x14ac:dyDescent="0.3"/>
  <cols>
    <col min="1" max="1" width="15.5546875" bestFit="1" customWidth="1"/>
    <col min="2" max="2" width="49.88671875" bestFit="1" customWidth="1"/>
    <col min="3" max="3" width="21.109375" bestFit="1" customWidth="1"/>
    <col min="4" max="4" width="16.6640625" bestFit="1" customWidth="1"/>
    <col min="5" max="5" width="19.44140625" bestFit="1" customWidth="1"/>
    <col min="6" max="6" width="18.109375" bestFit="1" customWidth="1"/>
    <col min="7" max="7" width="36" bestFit="1" customWidth="1"/>
    <col min="8" max="8" width="16.5546875" bestFit="1" customWidth="1"/>
    <col min="9" max="9" width="17.6640625" bestFit="1" customWidth="1"/>
    <col min="10" max="10" width="18.109375" bestFit="1" customWidth="1"/>
    <col min="11" max="11" width="13" bestFit="1" customWidth="1"/>
    <col min="12" max="12" width="14.88671875" bestFit="1" customWidth="1"/>
    <col min="13" max="14" width="13.33203125" bestFit="1" customWidth="1"/>
    <col min="15" max="15" width="9.6640625" bestFit="1" customWidth="1"/>
    <col min="16" max="16" width="13.88671875" bestFit="1" customWidth="1"/>
    <col min="18" max="19" width="11.44140625" bestFit="1" customWidth="1"/>
    <col min="20" max="20" width="4.5546875" bestFit="1" customWidth="1"/>
    <col min="21" max="21" width="11.44140625" bestFit="1" customWidth="1"/>
    <col min="22" max="23" width="8.88671875" bestFit="1" customWidth="1"/>
    <col min="24" max="25" width="4.5546875" bestFit="1" customWidth="1"/>
  </cols>
  <sheetData>
    <row r="1" spans="1:16" x14ac:dyDescent="0.3">
      <c r="L1" s="8">
        <f>SUM(L3:L381)</f>
        <v>143037478.62</v>
      </c>
      <c r="M1" s="8">
        <f t="shared" ref="M1:N1" si="0">SUM(M3:M381)</f>
        <v>10703300.880000001</v>
      </c>
      <c r="N1" s="8">
        <f t="shared" si="0"/>
        <v>10703300.880000001</v>
      </c>
    </row>
    <row r="3" spans="1:16" x14ac:dyDescent="0.3">
      <c r="A3" s="1" t="s">
        <v>0</v>
      </c>
      <c r="B3" s="1" t="s">
        <v>1</v>
      </c>
      <c r="C3" s="44" t="s">
        <v>2</v>
      </c>
      <c r="D3" s="1" t="s">
        <v>3</v>
      </c>
      <c r="E3" s="1" t="s">
        <v>4</v>
      </c>
      <c r="F3" s="44" t="s">
        <v>5</v>
      </c>
      <c r="G3" s="46"/>
      <c r="H3" s="45" t="s">
        <v>6</v>
      </c>
      <c r="I3" s="47" t="s">
        <v>7</v>
      </c>
      <c r="J3" s="47" t="s">
        <v>8</v>
      </c>
      <c r="K3" s="48" t="s">
        <v>9</v>
      </c>
      <c r="L3" s="47" t="s">
        <v>10</v>
      </c>
      <c r="M3" s="47" t="s">
        <v>11</v>
      </c>
      <c r="N3" s="47" t="s">
        <v>12</v>
      </c>
      <c r="O3" s="3" t="s">
        <v>13</v>
      </c>
      <c r="P3" s="34" t="s">
        <v>484</v>
      </c>
    </row>
    <row r="4" spans="1:16" x14ac:dyDescent="0.3">
      <c r="A4" s="5" t="s">
        <v>235</v>
      </c>
      <c r="B4" s="5" t="s">
        <v>43</v>
      </c>
      <c r="C4" s="5" t="s">
        <v>72</v>
      </c>
      <c r="D4" s="6" t="s">
        <v>266</v>
      </c>
      <c r="E4" s="6" t="s">
        <v>267</v>
      </c>
      <c r="F4" s="5" t="s">
        <v>119</v>
      </c>
      <c r="G4" s="10" t="str">
        <f>CONCATENATE(C4,"_",F4)</f>
        <v>27AASCA5981H1Z2_AV1001/25-26/01</v>
      </c>
      <c r="H4" s="7">
        <v>45870</v>
      </c>
      <c r="I4" s="8">
        <v>3984251.23</v>
      </c>
      <c r="J4" s="8">
        <v>3376484.09</v>
      </c>
      <c r="K4" s="9">
        <v>0</v>
      </c>
      <c r="L4" s="8">
        <v>0</v>
      </c>
      <c r="M4" s="8">
        <v>303883.57</v>
      </c>
      <c r="N4" s="8">
        <v>303883.57</v>
      </c>
      <c r="O4" s="8">
        <v>0</v>
      </c>
      <c r="P4" t="str">
        <f>VLOOKUP(G4,'GST + Invocie No'!$B$4:$Y$185,24,0)</f>
        <v>Book And 2B Match</v>
      </c>
    </row>
    <row r="5" spans="1:16" x14ac:dyDescent="0.3">
      <c r="A5" s="5" t="s">
        <v>487</v>
      </c>
      <c r="B5" s="5" t="s">
        <v>237</v>
      </c>
      <c r="C5" s="5" t="s">
        <v>87</v>
      </c>
      <c r="D5" s="6" t="s">
        <v>266</v>
      </c>
      <c r="E5" s="6" t="s">
        <v>267</v>
      </c>
      <c r="F5" s="5" t="s">
        <v>232</v>
      </c>
      <c r="G5" s="10" t="str">
        <f t="shared" ref="G5:G68" si="1">CONCATENATE(C5,"_",F5)</f>
        <v>27AAGCB5066J1ZG_TXN/25-26/1136</v>
      </c>
      <c r="H5" s="7">
        <v>46106</v>
      </c>
      <c r="I5" s="8">
        <v>42120</v>
      </c>
      <c r="J5" s="8">
        <v>35695</v>
      </c>
      <c r="K5" s="9">
        <v>0</v>
      </c>
      <c r="L5" s="8">
        <v>0</v>
      </c>
      <c r="M5" s="8">
        <v>3212.55</v>
      </c>
      <c r="N5" s="8">
        <v>3212.55</v>
      </c>
      <c r="O5" s="8">
        <v>0</v>
      </c>
      <c r="P5" t="str">
        <f>VLOOKUP(G5,'GST + Invocie No'!$B$4:$Y$185,24,0)</f>
        <v>Book And 2B Match</v>
      </c>
    </row>
    <row r="6" spans="1:16" x14ac:dyDescent="0.3">
      <c r="A6" s="5" t="s">
        <v>238</v>
      </c>
      <c r="B6" s="5" t="s">
        <v>36</v>
      </c>
      <c r="C6" s="5" t="s">
        <v>65</v>
      </c>
      <c r="D6" s="6" t="s">
        <v>266</v>
      </c>
      <c r="E6" s="6" t="s">
        <v>267</v>
      </c>
      <c r="F6" s="5" t="s">
        <v>90</v>
      </c>
      <c r="G6" s="10" t="str">
        <f t="shared" si="1"/>
        <v>27AALCB9501D1ZS_BMPL0036</v>
      </c>
      <c r="H6" s="7">
        <v>45753</v>
      </c>
      <c r="I6" s="8">
        <v>2057423</v>
      </c>
      <c r="J6" s="8">
        <v>1743578.96</v>
      </c>
      <c r="K6" s="9">
        <v>0</v>
      </c>
      <c r="L6" s="8">
        <v>0</v>
      </c>
      <c r="M6" s="8">
        <v>156922.10999999999</v>
      </c>
      <c r="N6" s="8">
        <v>156922.10999999999</v>
      </c>
      <c r="O6" s="8">
        <v>0</v>
      </c>
      <c r="P6" t="str">
        <f>VLOOKUP(G6,'GST + Invocie No'!$B$4:$Y$185,24,0)</f>
        <v>Book And 2B Match</v>
      </c>
    </row>
    <row r="7" spans="1:16" x14ac:dyDescent="0.3">
      <c r="A7" s="5" t="s">
        <v>239</v>
      </c>
      <c r="B7" s="5" t="s">
        <v>36</v>
      </c>
      <c r="C7" s="5" t="s">
        <v>65</v>
      </c>
      <c r="D7" s="6" t="s">
        <v>266</v>
      </c>
      <c r="E7" s="6" t="s">
        <v>267</v>
      </c>
      <c r="F7" s="5" t="s">
        <v>96</v>
      </c>
      <c r="G7" s="10" t="str">
        <f t="shared" si="1"/>
        <v>27AALCB9501D1ZS_BMPL0046</v>
      </c>
      <c r="H7" s="7">
        <v>45778</v>
      </c>
      <c r="I7" s="8">
        <v>3099838.9</v>
      </c>
      <c r="J7" s="8">
        <v>2626982.12</v>
      </c>
      <c r="K7" s="9">
        <v>0</v>
      </c>
      <c r="L7" s="8">
        <v>0</v>
      </c>
      <c r="M7" s="8">
        <v>236428.39</v>
      </c>
      <c r="N7" s="8">
        <v>236428.39</v>
      </c>
      <c r="O7" s="8">
        <v>0</v>
      </c>
      <c r="P7" t="str">
        <f>VLOOKUP(G7,'GST + Invocie No'!$B$4:$Y$185,24,0)</f>
        <v>Book And 2B Match</v>
      </c>
    </row>
    <row r="8" spans="1:16" x14ac:dyDescent="0.3">
      <c r="A8" s="5" t="s">
        <v>240</v>
      </c>
      <c r="B8" s="5" t="s">
        <v>36</v>
      </c>
      <c r="C8" s="5" t="s">
        <v>65</v>
      </c>
      <c r="D8" s="6" t="s">
        <v>266</v>
      </c>
      <c r="E8" s="6" t="s">
        <v>267</v>
      </c>
      <c r="F8" s="5" t="s">
        <v>104</v>
      </c>
      <c r="G8" s="10" t="str">
        <f t="shared" si="1"/>
        <v>27AALCB9501D1ZS_BMPL0060</v>
      </c>
      <c r="H8" s="7">
        <v>45813</v>
      </c>
      <c r="I8" s="8">
        <v>1236941.6000000001</v>
      </c>
      <c r="J8" s="8">
        <v>1048255.59</v>
      </c>
      <c r="K8" s="9">
        <v>0</v>
      </c>
      <c r="L8" s="8">
        <v>0</v>
      </c>
      <c r="M8" s="8">
        <v>94343</v>
      </c>
      <c r="N8" s="8">
        <v>94343</v>
      </c>
      <c r="O8" s="8">
        <v>0</v>
      </c>
      <c r="P8" t="str">
        <f>VLOOKUP(G8,'GST + Invocie No'!$B$4:$Y$185,24,0)</f>
        <v>Book And 2B Match</v>
      </c>
    </row>
    <row r="9" spans="1:16" x14ac:dyDescent="0.3">
      <c r="A9" s="5" t="s">
        <v>241</v>
      </c>
      <c r="B9" s="5" t="s">
        <v>36</v>
      </c>
      <c r="C9" s="5" t="s">
        <v>65</v>
      </c>
      <c r="D9" s="6" t="s">
        <v>266</v>
      </c>
      <c r="E9" s="6" t="s">
        <v>267</v>
      </c>
      <c r="F9" s="5" t="s">
        <v>111</v>
      </c>
      <c r="G9" s="10" t="str">
        <f t="shared" si="1"/>
        <v>27AALCB9501D1ZS_BMPL0068</v>
      </c>
      <c r="H9" s="7">
        <v>45843</v>
      </c>
      <c r="I9" s="8">
        <v>1750129.98</v>
      </c>
      <c r="J9" s="8">
        <v>1483161</v>
      </c>
      <c r="K9" s="9">
        <v>0</v>
      </c>
      <c r="L9" s="8">
        <v>0</v>
      </c>
      <c r="M9" s="8">
        <v>133484.49</v>
      </c>
      <c r="N9" s="8">
        <v>133484.49</v>
      </c>
      <c r="O9" s="8">
        <v>0</v>
      </c>
      <c r="P9" t="str">
        <f>VLOOKUP(G9,'GST + Invocie No'!$B$4:$Y$185,24,0)</f>
        <v>Book And 2B Match</v>
      </c>
    </row>
    <row r="10" spans="1:16" x14ac:dyDescent="0.3">
      <c r="A10" s="5" t="s">
        <v>235</v>
      </c>
      <c r="B10" s="5" t="s">
        <v>36</v>
      </c>
      <c r="C10" s="5" t="s">
        <v>65</v>
      </c>
      <c r="D10" s="6" t="s">
        <v>266</v>
      </c>
      <c r="E10" s="6" t="s">
        <v>267</v>
      </c>
      <c r="F10" s="5" t="s">
        <v>116</v>
      </c>
      <c r="G10" s="10" t="str">
        <f t="shared" si="1"/>
        <v>27AALCB9501D1ZS_BMPL0077</v>
      </c>
      <c r="H10" s="7">
        <v>45870</v>
      </c>
      <c r="I10" s="8">
        <v>489524.53</v>
      </c>
      <c r="J10" s="8">
        <v>414851.3</v>
      </c>
      <c r="K10" s="9">
        <v>0</v>
      </c>
      <c r="L10" s="8">
        <v>0</v>
      </c>
      <c r="M10" s="8">
        <v>37336.620000000003</v>
      </c>
      <c r="N10" s="8">
        <v>37336.620000000003</v>
      </c>
      <c r="O10" s="8">
        <v>0</v>
      </c>
      <c r="P10" t="str">
        <f>VLOOKUP(G10,'GST + Invocie No'!$B$4:$Y$185,24,0)</f>
        <v>Book And 2B Match</v>
      </c>
    </row>
    <row r="11" spans="1:16" x14ac:dyDescent="0.3">
      <c r="A11" s="5" t="s">
        <v>242</v>
      </c>
      <c r="B11" s="5" t="s">
        <v>36</v>
      </c>
      <c r="C11" s="5" t="s">
        <v>65</v>
      </c>
      <c r="D11" s="6" t="s">
        <v>266</v>
      </c>
      <c r="E11" s="6" t="s">
        <v>267</v>
      </c>
      <c r="F11" s="5" t="s">
        <v>128</v>
      </c>
      <c r="G11" s="10" t="str">
        <f t="shared" si="1"/>
        <v>27AALCB9501D1ZS_BMPL0090</v>
      </c>
      <c r="H11" s="7">
        <v>45906</v>
      </c>
      <c r="I11" s="8">
        <v>64873.96</v>
      </c>
      <c r="J11" s="8">
        <v>54977.93</v>
      </c>
      <c r="K11" s="9">
        <v>0</v>
      </c>
      <c r="L11" s="8">
        <v>0</v>
      </c>
      <c r="M11" s="8">
        <v>4948.01</v>
      </c>
      <c r="N11" s="8">
        <v>4948.01</v>
      </c>
      <c r="O11" s="8">
        <v>0</v>
      </c>
      <c r="P11" t="str">
        <f>VLOOKUP(G11,'GST + Invocie No'!$B$4:$Y$185,24,0)</f>
        <v>Book And 2B Match</v>
      </c>
    </row>
    <row r="12" spans="1:16" x14ac:dyDescent="0.3">
      <c r="A12" s="5" t="s">
        <v>243</v>
      </c>
      <c r="B12" s="5" t="s">
        <v>36</v>
      </c>
      <c r="C12" s="5" t="s">
        <v>65</v>
      </c>
      <c r="D12" s="6" t="s">
        <v>266</v>
      </c>
      <c r="E12" s="6" t="s">
        <v>267</v>
      </c>
      <c r="F12" s="5" t="s">
        <v>134</v>
      </c>
      <c r="G12" s="10" t="str">
        <f t="shared" si="1"/>
        <v>27AALCB9501D1ZS_BMPL0099</v>
      </c>
      <c r="H12" s="7">
        <v>45932</v>
      </c>
      <c r="I12" s="8">
        <v>1854395</v>
      </c>
      <c r="J12" s="8">
        <v>1571521.28</v>
      </c>
      <c r="K12" s="9">
        <v>0</v>
      </c>
      <c r="L12" s="8">
        <v>0</v>
      </c>
      <c r="M12" s="8">
        <v>141436.92000000001</v>
      </c>
      <c r="N12" s="8">
        <v>141436.92000000001</v>
      </c>
      <c r="O12" s="8">
        <v>0</v>
      </c>
      <c r="P12" t="str">
        <f>VLOOKUP(G12,'GST + Invocie No'!$B$4:$Y$185,24,0)</f>
        <v>Book And 2B Match</v>
      </c>
    </row>
    <row r="13" spans="1:16" x14ac:dyDescent="0.3">
      <c r="A13" s="5" t="s">
        <v>244</v>
      </c>
      <c r="B13" s="5" t="s">
        <v>36</v>
      </c>
      <c r="C13" s="5" t="s">
        <v>65</v>
      </c>
      <c r="D13" s="6" t="s">
        <v>266</v>
      </c>
      <c r="E13" s="6" t="s">
        <v>267</v>
      </c>
      <c r="F13" s="5" t="s">
        <v>139</v>
      </c>
      <c r="G13" s="10" t="str">
        <f t="shared" si="1"/>
        <v>27AALCB9501D1ZS_BMPL0109</v>
      </c>
      <c r="H13" s="7">
        <v>45964</v>
      </c>
      <c r="I13" s="8">
        <v>2271965</v>
      </c>
      <c r="J13" s="8">
        <v>1925394.33</v>
      </c>
      <c r="K13" s="9">
        <v>0</v>
      </c>
      <c r="L13" s="8">
        <v>0</v>
      </c>
      <c r="M13" s="8">
        <v>173285.49</v>
      </c>
      <c r="N13" s="8">
        <v>173285.49</v>
      </c>
      <c r="O13" s="8">
        <v>0</v>
      </c>
      <c r="P13" t="str">
        <f>VLOOKUP(G13,'GST + Invocie No'!$B$4:$Y$185,24,0)</f>
        <v>Book And 2B Match</v>
      </c>
    </row>
    <row r="14" spans="1:16" x14ac:dyDescent="0.3">
      <c r="A14" s="5" t="s">
        <v>245</v>
      </c>
      <c r="B14" s="5" t="s">
        <v>36</v>
      </c>
      <c r="C14" s="5" t="s">
        <v>65</v>
      </c>
      <c r="D14" s="6" t="s">
        <v>266</v>
      </c>
      <c r="E14" s="6" t="s">
        <v>267</v>
      </c>
      <c r="F14" s="5" t="s">
        <v>146</v>
      </c>
      <c r="G14" s="10" t="str">
        <f t="shared" si="1"/>
        <v>27AALCB9501D1ZS_BMPL0121</v>
      </c>
      <c r="H14" s="7">
        <v>45997</v>
      </c>
      <c r="I14" s="8">
        <v>1184700</v>
      </c>
      <c r="J14" s="8">
        <v>1003983.25</v>
      </c>
      <c r="K14" s="9">
        <v>0</v>
      </c>
      <c r="L14" s="8">
        <v>0</v>
      </c>
      <c r="M14" s="8">
        <v>90358.49</v>
      </c>
      <c r="N14" s="8">
        <v>90358.49</v>
      </c>
      <c r="O14" s="8">
        <v>0</v>
      </c>
      <c r="P14" t="str">
        <f>VLOOKUP(G14,'GST + Invocie No'!$B$4:$Y$185,24,0)</f>
        <v>Book And 2B Match</v>
      </c>
    </row>
    <row r="15" spans="1:16" x14ac:dyDescent="0.3">
      <c r="A15" s="5" t="s">
        <v>246</v>
      </c>
      <c r="B15" s="5" t="s">
        <v>36</v>
      </c>
      <c r="C15" s="5" t="s">
        <v>65</v>
      </c>
      <c r="D15" s="6" t="s">
        <v>266</v>
      </c>
      <c r="E15" s="6" t="s">
        <v>267</v>
      </c>
      <c r="F15" s="5" t="s">
        <v>158</v>
      </c>
      <c r="G15" s="10" t="str">
        <f t="shared" si="1"/>
        <v>27AALCB9501D1ZS_BMPL0145</v>
      </c>
      <c r="H15" s="7">
        <v>46025</v>
      </c>
      <c r="I15" s="8">
        <v>2610857</v>
      </c>
      <c r="J15" s="8">
        <v>2212590.4500000002</v>
      </c>
      <c r="K15" s="9">
        <v>0</v>
      </c>
      <c r="L15" s="8">
        <v>0</v>
      </c>
      <c r="M15" s="8">
        <v>199133.14</v>
      </c>
      <c r="N15" s="8">
        <v>199133.14</v>
      </c>
      <c r="O15" s="8">
        <v>0</v>
      </c>
      <c r="P15" t="str">
        <f>VLOOKUP(G15,'GST + Invocie No'!$B$4:$Y$185,24,0)</f>
        <v>Book And 2B Match</v>
      </c>
    </row>
    <row r="16" spans="1:16" x14ac:dyDescent="0.3">
      <c r="A16" s="5" t="s">
        <v>247</v>
      </c>
      <c r="B16" s="5" t="s">
        <v>36</v>
      </c>
      <c r="C16" s="5" t="s">
        <v>65</v>
      </c>
      <c r="D16" s="6" t="s">
        <v>266</v>
      </c>
      <c r="E16" s="6" t="s">
        <v>267</v>
      </c>
      <c r="F16" s="5" t="s">
        <v>166</v>
      </c>
      <c r="G16" s="10" t="str">
        <f t="shared" si="1"/>
        <v>27AALCB9501D1ZS_BMPL0168</v>
      </c>
      <c r="H16" s="7">
        <v>46055</v>
      </c>
      <c r="I16" s="8">
        <v>1700243.76</v>
      </c>
      <c r="J16" s="8">
        <v>1700243.76</v>
      </c>
      <c r="K16" s="9">
        <v>0</v>
      </c>
      <c r="L16" s="8">
        <v>0</v>
      </c>
      <c r="M16" s="8">
        <v>153021.94</v>
      </c>
      <c r="N16" s="8">
        <v>153021.94</v>
      </c>
      <c r="O16" s="8">
        <v>0</v>
      </c>
      <c r="P16" t="str">
        <f>VLOOKUP(G16,'GST + Invocie No'!$B$4:$Y$185,24,0)</f>
        <v>Book And 2B Match</v>
      </c>
    </row>
    <row r="17" spans="1:16" x14ac:dyDescent="0.3">
      <c r="A17" s="5" t="s">
        <v>236</v>
      </c>
      <c r="B17" s="5" t="s">
        <v>36</v>
      </c>
      <c r="C17" s="5" t="s">
        <v>65</v>
      </c>
      <c r="D17" s="6" t="s">
        <v>266</v>
      </c>
      <c r="E17" s="6" t="s">
        <v>267</v>
      </c>
      <c r="F17" s="5" t="s">
        <v>176</v>
      </c>
      <c r="G17" s="10" t="str">
        <f t="shared" si="1"/>
        <v>27AALCB9501D1ZS_BMPL0195</v>
      </c>
      <c r="H17" s="7">
        <v>46083</v>
      </c>
      <c r="I17" s="8">
        <v>2944360</v>
      </c>
      <c r="J17" s="8">
        <v>2495220.4700000002</v>
      </c>
      <c r="K17" s="9">
        <v>0</v>
      </c>
      <c r="L17" s="8">
        <v>0</v>
      </c>
      <c r="M17" s="8">
        <v>224569.84</v>
      </c>
      <c r="N17" s="8">
        <v>224569.84</v>
      </c>
      <c r="O17" s="8">
        <v>0</v>
      </c>
      <c r="P17" t="str">
        <f>VLOOKUP(G17,'GST + Invocie No'!$B$4:$Y$185,24,0)</f>
        <v>Book And 2B Match</v>
      </c>
    </row>
    <row r="18" spans="1:16" x14ac:dyDescent="0.3">
      <c r="A18" s="5" t="s">
        <v>242</v>
      </c>
      <c r="B18" s="5" t="s">
        <v>55</v>
      </c>
      <c r="C18" s="5" t="s">
        <v>84</v>
      </c>
      <c r="D18" s="6" t="s">
        <v>266</v>
      </c>
      <c r="E18" s="6" t="s">
        <v>267</v>
      </c>
      <c r="F18" s="5" t="s">
        <v>217</v>
      </c>
      <c r="G18" s="10" t="str">
        <f t="shared" si="1"/>
        <v>27AAACC6233A1Z9_420252026120907</v>
      </c>
      <c r="H18" s="7">
        <v>45930</v>
      </c>
      <c r="I18" s="8">
        <v>21141.67</v>
      </c>
      <c r="J18" s="8">
        <v>17916.669999999998</v>
      </c>
      <c r="K18" s="9">
        <v>0</v>
      </c>
      <c r="L18" s="8">
        <v>0</v>
      </c>
      <c r="M18" s="8">
        <v>1612.5</v>
      </c>
      <c r="N18" s="8">
        <v>1612.5</v>
      </c>
      <c r="O18" s="8">
        <v>0</v>
      </c>
      <c r="P18" t="str">
        <f>VLOOKUP(G18,'GST + Invocie No'!$B$4:$Y$185,24,0)</f>
        <v>Book And 2B Match</v>
      </c>
    </row>
    <row r="19" spans="1:16" x14ac:dyDescent="0.3">
      <c r="A19" s="5" t="s">
        <v>238</v>
      </c>
      <c r="B19" s="5" t="s">
        <v>248</v>
      </c>
      <c r="C19" s="5" t="s">
        <v>66</v>
      </c>
      <c r="D19" s="6" t="s">
        <v>266</v>
      </c>
      <c r="E19" s="6" t="s">
        <v>267</v>
      </c>
      <c r="F19" s="5" t="s">
        <v>91</v>
      </c>
      <c r="G19" s="10" t="str">
        <f t="shared" si="1"/>
        <v>27AADCD9460D1ZO_25-26/4/214</v>
      </c>
      <c r="H19" s="7">
        <v>45777</v>
      </c>
      <c r="I19" s="8">
        <v>11800</v>
      </c>
      <c r="J19" s="8">
        <v>10000</v>
      </c>
      <c r="K19" s="9">
        <v>0</v>
      </c>
      <c r="L19" s="8">
        <v>0</v>
      </c>
      <c r="M19" s="8">
        <v>900</v>
      </c>
      <c r="N19" s="8">
        <v>900</v>
      </c>
      <c r="O19" s="8">
        <v>0</v>
      </c>
      <c r="P19" t="str">
        <f>VLOOKUP(G19,'GST + Invocie No'!$B$4:$Y$185,24,0)</f>
        <v>Book And 2B Match</v>
      </c>
    </row>
    <row r="20" spans="1:16" x14ac:dyDescent="0.3">
      <c r="A20" s="5" t="s">
        <v>239</v>
      </c>
      <c r="B20" s="5" t="s">
        <v>248</v>
      </c>
      <c r="C20" s="5" t="s">
        <v>66</v>
      </c>
      <c r="D20" s="6" t="s">
        <v>266</v>
      </c>
      <c r="E20" s="6" t="s">
        <v>267</v>
      </c>
      <c r="F20" s="5" t="s">
        <v>99</v>
      </c>
      <c r="G20" s="10" t="str">
        <f t="shared" si="1"/>
        <v>27AADCD9460D1ZO_25-26/5/206</v>
      </c>
      <c r="H20" s="7">
        <v>45808</v>
      </c>
      <c r="I20" s="8">
        <v>11800</v>
      </c>
      <c r="J20" s="8">
        <v>10000</v>
      </c>
      <c r="K20" s="9">
        <v>0</v>
      </c>
      <c r="L20" s="8">
        <v>0</v>
      </c>
      <c r="M20" s="8">
        <v>900</v>
      </c>
      <c r="N20" s="8">
        <v>900</v>
      </c>
      <c r="O20" s="8">
        <v>0</v>
      </c>
      <c r="P20" t="str">
        <f>VLOOKUP(G20,'GST + Invocie No'!$B$4:$Y$185,24,0)</f>
        <v>Book And 2B Match</v>
      </c>
    </row>
    <row r="21" spans="1:16" x14ac:dyDescent="0.3">
      <c r="A21" s="5" t="s">
        <v>240</v>
      </c>
      <c r="B21" s="5" t="s">
        <v>248</v>
      </c>
      <c r="C21" s="5" t="s">
        <v>66</v>
      </c>
      <c r="D21" s="6" t="s">
        <v>266</v>
      </c>
      <c r="E21" s="6" t="s">
        <v>267</v>
      </c>
      <c r="F21" s="5" t="s">
        <v>109</v>
      </c>
      <c r="G21" s="10" t="str">
        <f t="shared" si="1"/>
        <v>27AADCD9460D1ZO_25-26/6/178</v>
      </c>
      <c r="H21" s="7">
        <v>45838</v>
      </c>
      <c r="I21" s="8">
        <v>11800</v>
      </c>
      <c r="J21" s="8">
        <v>10000</v>
      </c>
      <c r="K21" s="9">
        <v>0</v>
      </c>
      <c r="L21" s="8">
        <v>0</v>
      </c>
      <c r="M21" s="8">
        <v>900</v>
      </c>
      <c r="N21" s="8">
        <v>900</v>
      </c>
      <c r="O21" s="8">
        <v>0</v>
      </c>
      <c r="P21" t="str">
        <f>VLOOKUP(G21,'GST + Invocie No'!$B$4:$Y$185,24,0)</f>
        <v>Book And 2B Match</v>
      </c>
    </row>
    <row r="22" spans="1:16" x14ac:dyDescent="0.3">
      <c r="A22" s="5" t="s">
        <v>241</v>
      </c>
      <c r="B22" s="5" t="s">
        <v>248</v>
      </c>
      <c r="C22" s="5" t="s">
        <v>66</v>
      </c>
      <c r="D22" s="6" t="s">
        <v>266</v>
      </c>
      <c r="E22" s="6" t="s">
        <v>267</v>
      </c>
      <c r="F22" s="5" t="s">
        <v>114</v>
      </c>
      <c r="G22" s="10" t="str">
        <f t="shared" si="1"/>
        <v>27AADCD9460D1ZO_25-26/7/227</v>
      </c>
      <c r="H22" s="7">
        <v>45869</v>
      </c>
      <c r="I22" s="8">
        <v>11800</v>
      </c>
      <c r="J22" s="8">
        <v>10000</v>
      </c>
      <c r="K22" s="9">
        <v>0</v>
      </c>
      <c r="L22" s="8">
        <v>0</v>
      </c>
      <c r="M22" s="8">
        <v>900</v>
      </c>
      <c r="N22" s="8">
        <v>900</v>
      </c>
      <c r="O22" s="8">
        <v>0</v>
      </c>
      <c r="P22" t="str">
        <f>VLOOKUP(G22,'GST + Invocie No'!$B$4:$Y$185,24,0)</f>
        <v>Book And 2B Match</v>
      </c>
    </row>
    <row r="23" spans="1:16" x14ac:dyDescent="0.3">
      <c r="A23" s="5" t="s">
        <v>235</v>
      </c>
      <c r="B23" s="5" t="s">
        <v>248</v>
      </c>
      <c r="C23" s="5" t="s">
        <v>66</v>
      </c>
      <c r="D23" s="6" t="s">
        <v>266</v>
      </c>
      <c r="E23" s="6" t="s">
        <v>267</v>
      </c>
      <c r="F23" s="5" t="s">
        <v>124</v>
      </c>
      <c r="G23" s="10" t="str">
        <f t="shared" si="1"/>
        <v>27AADCD9460D1ZO_25-26/8/247</v>
      </c>
      <c r="H23" s="7">
        <v>45900</v>
      </c>
      <c r="I23" s="8">
        <v>11800</v>
      </c>
      <c r="J23" s="8">
        <v>10000</v>
      </c>
      <c r="K23" s="9">
        <v>0</v>
      </c>
      <c r="L23" s="8">
        <v>0</v>
      </c>
      <c r="M23" s="8">
        <v>900</v>
      </c>
      <c r="N23" s="8">
        <v>900</v>
      </c>
      <c r="O23" s="8">
        <v>0</v>
      </c>
      <c r="P23" t="str">
        <f>VLOOKUP(G23,'GST + Invocie No'!$B$4:$Y$185,24,0)</f>
        <v>Book And 2B Match</v>
      </c>
    </row>
    <row r="24" spans="1:16" x14ac:dyDescent="0.3">
      <c r="A24" s="5" t="s">
        <v>242</v>
      </c>
      <c r="B24" s="5" t="s">
        <v>248</v>
      </c>
      <c r="C24" s="5" t="s">
        <v>66</v>
      </c>
      <c r="D24" s="6" t="s">
        <v>266</v>
      </c>
      <c r="E24" s="6" t="s">
        <v>267</v>
      </c>
      <c r="F24" s="5" t="s">
        <v>131</v>
      </c>
      <c r="G24" s="10" t="str">
        <f t="shared" si="1"/>
        <v>27AADCD9460D1ZO_25-26/9/258</v>
      </c>
      <c r="H24" s="7">
        <v>45930</v>
      </c>
      <c r="I24" s="8">
        <v>11800</v>
      </c>
      <c r="J24" s="8">
        <v>10000</v>
      </c>
      <c r="K24" s="9">
        <v>0</v>
      </c>
      <c r="L24" s="8">
        <v>0</v>
      </c>
      <c r="M24" s="8">
        <v>900</v>
      </c>
      <c r="N24" s="8">
        <v>900</v>
      </c>
      <c r="O24" s="8">
        <v>0</v>
      </c>
      <c r="P24" t="str">
        <f>VLOOKUP(G24,'GST + Invocie No'!$B$4:$Y$185,24,0)</f>
        <v>Book And 2B Match</v>
      </c>
    </row>
    <row r="25" spans="1:16" x14ac:dyDescent="0.3">
      <c r="A25" s="5" t="s">
        <v>243</v>
      </c>
      <c r="B25" s="5" t="s">
        <v>248</v>
      </c>
      <c r="C25" s="5" t="s">
        <v>66</v>
      </c>
      <c r="D25" s="6" t="s">
        <v>266</v>
      </c>
      <c r="E25" s="6" t="s">
        <v>267</v>
      </c>
      <c r="F25" s="5" t="s">
        <v>135</v>
      </c>
      <c r="G25" s="10" t="str">
        <f t="shared" si="1"/>
        <v>27AADCD9460D1ZO_25-26/10/217</v>
      </c>
      <c r="H25" s="7">
        <v>45961</v>
      </c>
      <c r="I25" s="8">
        <v>11800</v>
      </c>
      <c r="J25" s="8">
        <v>10000</v>
      </c>
      <c r="K25" s="9">
        <v>0</v>
      </c>
      <c r="L25" s="8">
        <v>0</v>
      </c>
      <c r="M25" s="8">
        <v>900</v>
      </c>
      <c r="N25" s="8">
        <v>900</v>
      </c>
      <c r="O25" s="8">
        <v>0</v>
      </c>
      <c r="P25" t="str">
        <f>VLOOKUP(G25,'GST + Invocie No'!$B$4:$Y$185,24,0)</f>
        <v>Book And 2B Match</v>
      </c>
    </row>
    <row r="26" spans="1:16" x14ac:dyDescent="0.3">
      <c r="A26" s="5" t="s">
        <v>244</v>
      </c>
      <c r="B26" s="5" t="s">
        <v>248</v>
      </c>
      <c r="C26" s="5" t="s">
        <v>66</v>
      </c>
      <c r="D26" s="6" t="s">
        <v>266</v>
      </c>
      <c r="E26" s="6" t="s">
        <v>267</v>
      </c>
      <c r="F26" s="5" t="s">
        <v>141</v>
      </c>
      <c r="G26" s="10" t="str">
        <f t="shared" si="1"/>
        <v>27AADCD9460D1ZO_25-26/11/256</v>
      </c>
      <c r="H26" s="7">
        <v>45990</v>
      </c>
      <c r="I26" s="8">
        <v>11800</v>
      </c>
      <c r="J26" s="8">
        <v>10000</v>
      </c>
      <c r="K26" s="9">
        <v>0</v>
      </c>
      <c r="L26" s="8">
        <v>0</v>
      </c>
      <c r="M26" s="8">
        <v>900</v>
      </c>
      <c r="N26" s="8">
        <v>900</v>
      </c>
      <c r="O26" s="8">
        <v>0</v>
      </c>
      <c r="P26" t="str">
        <f>VLOOKUP(G26,'GST + Invocie No'!$B$4:$Y$185,24,0)</f>
        <v>Book And 2B Match</v>
      </c>
    </row>
    <row r="27" spans="1:16" x14ac:dyDescent="0.3">
      <c r="A27" s="5" t="s">
        <v>245</v>
      </c>
      <c r="B27" s="5" t="s">
        <v>248</v>
      </c>
      <c r="C27" s="5" t="s">
        <v>66</v>
      </c>
      <c r="D27" s="6" t="s">
        <v>266</v>
      </c>
      <c r="E27" s="6" t="s">
        <v>267</v>
      </c>
      <c r="F27" s="5" t="s">
        <v>145</v>
      </c>
      <c r="G27" s="10" t="str">
        <f t="shared" si="1"/>
        <v>27AADCD9460D1ZO_25-26/12/63</v>
      </c>
      <c r="H27" s="7">
        <v>46000</v>
      </c>
      <c r="I27" s="8">
        <v>2748280</v>
      </c>
      <c r="J27" s="8">
        <v>2329050.91</v>
      </c>
      <c r="K27" s="9">
        <v>0</v>
      </c>
      <c r="L27" s="8">
        <v>0</v>
      </c>
      <c r="M27" s="8">
        <v>209615</v>
      </c>
      <c r="N27" s="8">
        <v>209615</v>
      </c>
      <c r="O27" s="8">
        <v>0</v>
      </c>
      <c r="P27" t="str">
        <f>VLOOKUP(G27,'GST + Invocie No'!$B$4:$Y$185,24,0)</f>
        <v>Book And 2B Match</v>
      </c>
    </row>
    <row r="28" spans="1:16" x14ac:dyDescent="0.3">
      <c r="A28" s="5" t="s">
        <v>245</v>
      </c>
      <c r="B28" s="5" t="s">
        <v>248</v>
      </c>
      <c r="C28" s="5" t="s">
        <v>66</v>
      </c>
      <c r="D28" s="6" t="s">
        <v>266</v>
      </c>
      <c r="E28" s="6" t="s">
        <v>267</v>
      </c>
      <c r="F28" s="5" t="s">
        <v>149</v>
      </c>
      <c r="G28" s="10" t="str">
        <f t="shared" si="1"/>
        <v>27AADCD9460D1ZO_25-26/12/270</v>
      </c>
      <c r="H28" s="7">
        <v>46022</v>
      </c>
      <c r="I28" s="8">
        <v>11800</v>
      </c>
      <c r="J28" s="8">
        <v>10000</v>
      </c>
      <c r="K28" s="9">
        <v>0</v>
      </c>
      <c r="L28" s="8">
        <v>0</v>
      </c>
      <c r="M28" s="8">
        <v>900</v>
      </c>
      <c r="N28" s="8">
        <v>900</v>
      </c>
      <c r="O28" s="8">
        <v>0</v>
      </c>
      <c r="P28" t="str">
        <f>VLOOKUP(G28,'GST + Invocie No'!$B$4:$Y$185,24,0)</f>
        <v>Book And 2B Match</v>
      </c>
    </row>
    <row r="29" spans="1:16" x14ac:dyDescent="0.3">
      <c r="A29" s="5" t="s">
        <v>245</v>
      </c>
      <c r="B29" s="5" t="s">
        <v>248</v>
      </c>
      <c r="C29" s="5" t="s">
        <v>66</v>
      </c>
      <c r="D29" s="6" t="s">
        <v>266</v>
      </c>
      <c r="E29" s="6" t="s">
        <v>267</v>
      </c>
      <c r="F29" s="5" t="s">
        <v>153</v>
      </c>
      <c r="G29" s="10" t="str">
        <f t="shared" si="1"/>
        <v>27AADCD9460D1ZO_25-26/12/375</v>
      </c>
      <c r="H29" s="7">
        <v>46022</v>
      </c>
      <c r="I29" s="8">
        <v>4474325</v>
      </c>
      <c r="J29" s="8">
        <v>3791800.7</v>
      </c>
      <c r="K29" s="9">
        <v>0</v>
      </c>
      <c r="L29" s="8">
        <v>0</v>
      </c>
      <c r="M29" s="8">
        <v>341262</v>
      </c>
      <c r="N29" s="8">
        <v>341262</v>
      </c>
      <c r="O29" s="8">
        <v>0</v>
      </c>
      <c r="P29" t="str">
        <f>VLOOKUP(G29,'GST + Invocie No'!$B$4:$Y$185,24,0)</f>
        <v>Book And 2B Match</v>
      </c>
    </row>
    <row r="30" spans="1:16" x14ac:dyDescent="0.3">
      <c r="A30" s="5" t="s">
        <v>245</v>
      </c>
      <c r="B30" s="5" t="s">
        <v>248</v>
      </c>
      <c r="C30" s="5" t="s">
        <v>66</v>
      </c>
      <c r="D30" s="6" t="s">
        <v>266</v>
      </c>
      <c r="E30" s="6" t="s">
        <v>267</v>
      </c>
      <c r="F30" s="5" t="s">
        <v>154</v>
      </c>
      <c r="G30" s="10" t="str">
        <f t="shared" si="1"/>
        <v>27AADCD9460D1ZO_25-26/12/376</v>
      </c>
      <c r="H30" s="7">
        <v>46022</v>
      </c>
      <c r="I30" s="8">
        <v>1034096</v>
      </c>
      <c r="J30" s="8">
        <v>876352.15</v>
      </c>
      <c r="K30" s="9">
        <v>0</v>
      </c>
      <c r="L30" s="8">
        <v>0</v>
      </c>
      <c r="M30" s="8">
        <v>78872</v>
      </c>
      <c r="N30" s="8">
        <v>78872</v>
      </c>
      <c r="O30" s="8">
        <v>0</v>
      </c>
      <c r="P30" t="str">
        <f>VLOOKUP(G30,'GST + Invocie No'!$B$4:$Y$185,24,0)</f>
        <v>Book And 2B Match</v>
      </c>
    </row>
    <row r="31" spans="1:16" x14ac:dyDescent="0.3">
      <c r="A31" s="5" t="s">
        <v>245</v>
      </c>
      <c r="B31" s="5" t="s">
        <v>248</v>
      </c>
      <c r="C31" s="5" t="s">
        <v>66</v>
      </c>
      <c r="D31" s="6" t="s">
        <v>266</v>
      </c>
      <c r="E31" s="6" t="s">
        <v>267</v>
      </c>
      <c r="F31" s="5" t="s">
        <v>155</v>
      </c>
      <c r="G31" s="10" t="str">
        <f t="shared" si="1"/>
        <v>27AADCD9460D1ZO_25-26/12/377</v>
      </c>
      <c r="H31" s="7">
        <v>46022</v>
      </c>
      <c r="I31" s="8">
        <v>278222</v>
      </c>
      <c r="J31" s="8">
        <v>235781.15</v>
      </c>
      <c r="K31" s="9">
        <v>0</v>
      </c>
      <c r="L31" s="8">
        <v>0</v>
      </c>
      <c r="M31" s="8">
        <v>21220</v>
      </c>
      <c r="N31" s="8">
        <v>21220</v>
      </c>
      <c r="O31" s="8">
        <v>0</v>
      </c>
      <c r="P31" t="str">
        <f>VLOOKUP(G31,'GST + Invocie No'!$B$4:$Y$185,24,0)</f>
        <v>Book And 2B Match</v>
      </c>
    </row>
    <row r="32" spans="1:16" x14ac:dyDescent="0.3">
      <c r="A32" s="5" t="s">
        <v>245</v>
      </c>
      <c r="B32" s="5" t="s">
        <v>248</v>
      </c>
      <c r="C32" s="5" t="s">
        <v>66</v>
      </c>
      <c r="D32" s="6" t="s">
        <v>266</v>
      </c>
      <c r="E32" s="6" t="s">
        <v>267</v>
      </c>
      <c r="F32" s="5" t="s">
        <v>156</v>
      </c>
      <c r="G32" s="10" t="str">
        <f t="shared" si="1"/>
        <v>27AADCD9460D1ZO_25-26/12/378</v>
      </c>
      <c r="H32" s="7">
        <v>46022</v>
      </c>
      <c r="I32" s="8">
        <v>395712</v>
      </c>
      <c r="J32" s="8">
        <v>335348.75</v>
      </c>
      <c r="K32" s="9">
        <v>0</v>
      </c>
      <c r="L32" s="8">
        <v>0</v>
      </c>
      <c r="M32" s="8">
        <v>30181</v>
      </c>
      <c r="N32" s="8">
        <v>30181</v>
      </c>
      <c r="O32" s="8">
        <v>0</v>
      </c>
      <c r="P32" t="str">
        <f>VLOOKUP(G32,'GST + Invocie No'!$B$4:$Y$185,24,0)</f>
        <v>Book And 2B Match</v>
      </c>
    </row>
    <row r="33" spans="1:16" x14ac:dyDescent="0.3">
      <c r="A33" s="5" t="s">
        <v>246</v>
      </c>
      <c r="B33" s="5" t="s">
        <v>248</v>
      </c>
      <c r="C33" s="5" t="s">
        <v>66</v>
      </c>
      <c r="D33" s="6" t="s">
        <v>266</v>
      </c>
      <c r="E33" s="6" t="s">
        <v>267</v>
      </c>
      <c r="F33" s="5" t="s">
        <v>165</v>
      </c>
      <c r="G33" s="10" t="str">
        <f t="shared" si="1"/>
        <v>27AADCD9460D1ZO_25-26/1/366</v>
      </c>
      <c r="H33" s="7">
        <v>46053</v>
      </c>
      <c r="I33" s="8">
        <v>11800</v>
      </c>
      <c r="J33" s="8">
        <v>10000</v>
      </c>
      <c r="K33" s="9">
        <v>0</v>
      </c>
      <c r="L33" s="8">
        <v>0</v>
      </c>
      <c r="M33" s="8">
        <v>900</v>
      </c>
      <c r="N33" s="8">
        <v>900</v>
      </c>
      <c r="O33" s="8">
        <v>0</v>
      </c>
      <c r="P33" t="str">
        <f>VLOOKUP(G33,'GST + Invocie No'!$B$4:$Y$185,24,0)</f>
        <v>Book And 2B Match</v>
      </c>
    </row>
    <row r="34" spans="1:16" x14ac:dyDescent="0.3">
      <c r="A34" s="5" t="s">
        <v>247</v>
      </c>
      <c r="B34" s="5" t="s">
        <v>248</v>
      </c>
      <c r="C34" s="5" t="s">
        <v>66</v>
      </c>
      <c r="D34" s="6" t="s">
        <v>266</v>
      </c>
      <c r="E34" s="6" t="s">
        <v>267</v>
      </c>
      <c r="F34" s="5" t="s">
        <v>172</v>
      </c>
      <c r="G34" s="10" t="str">
        <f t="shared" si="1"/>
        <v>27AADCD9460D1ZO_25-26/2/331</v>
      </c>
      <c r="H34" s="7">
        <v>46081</v>
      </c>
      <c r="I34" s="8">
        <v>11800</v>
      </c>
      <c r="J34" s="8">
        <v>10000</v>
      </c>
      <c r="K34" s="9">
        <v>0</v>
      </c>
      <c r="L34" s="8">
        <v>0</v>
      </c>
      <c r="M34" s="8">
        <v>900</v>
      </c>
      <c r="N34" s="8">
        <v>900</v>
      </c>
      <c r="O34" s="8">
        <v>0</v>
      </c>
      <c r="P34" t="str">
        <f>VLOOKUP(G34,'GST + Invocie No'!$B$4:$Y$185,24,0)</f>
        <v>Book And 2B Match</v>
      </c>
    </row>
    <row r="35" spans="1:16" x14ac:dyDescent="0.3">
      <c r="A35" s="5" t="s">
        <v>236</v>
      </c>
      <c r="B35" s="5" t="s">
        <v>248</v>
      </c>
      <c r="C35" s="5" t="s">
        <v>66</v>
      </c>
      <c r="D35" s="6" t="s">
        <v>266</v>
      </c>
      <c r="E35" s="6" t="s">
        <v>267</v>
      </c>
      <c r="F35" s="5" t="s">
        <v>268</v>
      </c>
      <c r="G35" s="10" t="str">
        <f t="shared" si="1"/>
        <v>27AADCD9460D1ZO_25-26/3/377</v>
      </c>
      <c r="H35" s="7">
        <v>46112</v>
      </c>
      <c r="I35" s="8">
        <v>118000</v>
      </c>
      <c r="J35" s="8">
        <v>100000</v>
      </c>
      <c r="K35" s="9">
        <v>0</v>
      </c>
      <c r="L35" s="8">
        <v>0</v>
      </c>
      <c r="M35" s="8">
        <v>9000</v>
      </c>
      <c r="N35" s="8">
        <v>9000</v>
      </c>
      <c r="O35" s="8">
        <v>0</v>
      </c>
      <c r="P35" t="str">
        <f>VLOOKUP(G35,'GST + Invocie No'!$B$4:$Y$185,24,0)</f>
        <v>Vendor are show in 2B - Tax Invoices and CN</v>
      </c>
    </row>
    <row r="36" spans="1:16" x14ac:dyDescent="0.3">
      <c r="A36" s="5" t="s">
        <v>236</v>
      </c>
      <c r="B36" s="5" t="s">
        <v>248</v>
      </c>
      <c r="C36" s="5" t="s">
        <v>66</v>
      </c>
      <c r="D36" s="6" t="s">
        <v>266</v>
      </c>
      <c r="E36" s="6" t="s">
        <v>267</v>
      </c>
      <c r="F36" s="5" t="s">
        <v>182</v>
      </c>
      <c r="G36" s="10" t="str">
        <f t="shared" si="1"/>
        <v>27AADCD9460D1ZO_25-26/3/396</v>
      </c>
      <c r="H36" s="7">
        <v>46112</v>
      </c>
      <c r="I36" s="8">
        <v>11800</v>
      </c>
      <c r="J36" s="8">
        <v>10000</v>
      </c>
      <c r="K36" s="9">
        <v>0</v>
      </c>
      <c r="L36" s="8">
        <v>0</v>
      </c>
      <c r="M36" s="8">
        <v>900</v>
      </c>
      <c r="N36" s="8">
        <v>900</v>
      </c>
      <c r="O36" s="8">
        <v>0</v>
      </c>
      <c r="P36" t="str">
        <f>VLOOKUP(G36,'GST + Invocie No'!$B$4:$Y$185,24,0)</f>
        <v>Book And 2B Match</v>
      </c>
    </row>
    <row r="37" spans="1:16" x14ac:dyDescent="0.3">
      <c r="A37" s="5" t="s">
        <v>238</v>
      </c>
      <c r="B37" s="5" t="s">
        <v>249</v>
      </c>
      <c r="C37" s="5" t="s">
        <v>78</v>
      </c>
      <c r="D37" s="6" t="s">
        <v>266</v>
      </c>
      <c r="E37" s="6" t="s">
        <v>267</v>
      </c>
      <c r="F37" s="5" t="s">
        <v>269</v>
      </c>
      <c r="G37" s="10" t="str">
        <f t="shared" si="1"/>
        <v>27AAECR8945A1ZB_SH/APR-25/275</v>
      </c>
      <c r="H37" s="7">
        <v>45757</v>
      </c>
      <c r="I37" s="8">
        <v>656.97</v>
      </c>
      <c r="J37" s="8">
        <v>556.75</v>
      </c>
      <c r="K37" s="9">
        <v>0</v>
      </c>
      <c r="L37" s="8">
        <v>0</v>
      </c>
      <c r="M37" s="8">
        <v>50.11</v>
      </c>
      <c r="N37" s="8">
        <v>50.11</v>
      </c>
      <c r="O37" s="8">
        <v>0</v>
      </c>
      <c r="P37" t="str">
        <f>VLOOKUP(G37,'GST + Invocie No'!$B$4:$Y$185,24,0)</f>
        <v>Book And 2B Match-Invocies No Mis-Match</v>
      </c>
    </row>
    <row r="38" spans="1:16" x14ac:dyDescent="0.3">
      <c r="A38" s="5" t="s">
        <v>239</v>
      </c>
      <c r="B38" s="5" t="s">
        <v>249</v>
      </c>
      <c r="C38" s="5" t="s">
        <v>78</v>
      </c>
      <c r="D38" s="6" t="s">
        <v>266</v>
      </c>
      <c r="E38" s="6" t="s">
        <v>267</v>
      </c>
      <c r="F38" s="5" t="s">
        <v>270</v>
      </c>
      <c r="G38" s="10" t="str">
        <f t="shared" si="1"/>
        <v>27AAECR8945A1ZB_SH/MAY-25/45</v>
      </c>
      <c r="H38" s="7">
        <v>45778</v>
      </c>
      <c r="I38" s="8">
        <v>481.21</v>
      </c>
      <c r="J38" s="8">
        <v>407.81</v>
      </c>
      <c r="K38" s="9">
        <v>0</v>
      </c>
      <c r="L38" s="8">
        <v>0</v>
      </c>
      <c r="M38" s="8">
        <v>36.700000000000003</v>
      </c>
      <c r="N38" s="8">
        <v>36.700000000000003</v>
      </c>
      <c r="O38" s="8">
        <v>0</v>
      </c>
      <c r="P38" t="str">
        <f>VLOOKUP(G38,'GST + Invocie No'!$B$4:$Y$185,24,0)</f>
        <v>Book And 2B Match-Invocies No Mis-Match</v>
      </c>
    </row>
    <row r="39" spans="1:16" x14ac:dyDescent="0.3">
      <c r="A39" s="5" t="s">
        <v>239</v>
      </c>
      <c r="B39" s="5" t="s">
        <v>249</v>
      </c>
      <c r="C39" s="5" t="s">
        <v>78</v>
      </c>
      <c r="D39" s="6" t="s">
        <v>266</v>
      </c>
      <c r="E39" s="6" t="s">
        <v>267</v>
      </c>
      <c r="F39" s="5" t="s">
        <v>271</v>
      </c>
      <c r="G39" s="10" t="str">
        <f t="shared" si="1"/>
        <v>27AAECR8945A1ZB_SH/MAY-25/53</v>
      </c>
      <c r="H39" s="7">
        <v>45778</v>
      </c>
      <c r="I39" s="8">
        <v>4756.55</v>
      </c>
      <c r="J39" s="8">
        <v>4030.97</v>
      </c>
      <c r="K39" s="9">
        <v>0</v>
      </c>
      <c r="L39" s="8">
        <v>0</v>
      </c>
      <c r="M39" s="8">
        <v>362.79</v>
      </c>
      <c r="N39" s="8">
        <v>362.79</v>
      </c>
      <c r="O39" s="8">
        <v>0</v>
      </c>
      <c r="P39" t="str">
        <f>VLOOKUP(G39,'GST + Invocie No'!$B$4:$Y$185,24,0)</f>
        <v>Book And 2B Match-Invocies No Mis-Match</v>
      </c>
    </row>
    <row r="40" spans="1:16" x14ac:dyDescent="0.3">
      <c r="A40" s="5" t="s">
        <v>239</v>
      </c>
      <c r="B40" s="5" t="s">
        <v>249</v>
      </c>
      <c r="C40" s="5" t="s">
        <v>78</v>
      </c>
      <c r="D40" s="6" t="s">
        <v>266</v>
      </c>
      <c r="E40" s="6" t="s">
        <v>267</v>
      </c>
      <c r="F40" s="5" t="s">
        <v>272</v>
      </c>
      <c r="G40" s="10" t="str">
        <f t="shared" si="1"/>
        <v>27AAECR8945A1ZB_SH/MAY-25/171</v>
      </c>
      <c r="H40" s="7">
        <v>45779</v>
      </c>
      <c r="I40" s="8">
        <v>319.20999999999998</v>
      </c>
      <c r="J40" s="8">
        <v>270.51</v>
      </c>
      <c r="K40" s="9">
        <v>0</v>
      </c>
      <c r="L40" s="8">
        <v>0</v>
      </c>
      <c r="M40" s="8">
        <v>24.35</v>
      </c>
      <c r="N40" s="8">
        <v>24.35</v>
      </c>
      <c r="O40" s="8">
        <v>0</v>
      </c>
      <c r="P40" t="str">
        <f>VLOOKUP(G40,'GST + Invocie No'!$B$4:$Y$185,24,0)</f>
        <v>Book And 2B Match-Invocies No Mis-Match</v>
      </c>
    </row>
    <row r="41" spans="1:16" x14ac:dyDescent="0.3">
      <c r="A41" s="5" t="s">
        <v>238</v>
      </c>
      <c r="B41" s="5" t="s">
        <v>48</v>
      </c>
      <c r="C41" s="5" t="s">
        <v>77</v>
      </c>
      <c r="D41" s="6" t="s">
        <v>266</v>
      </c>
      <c r="E41" s="6" t="s">
        <v>267</v>
      </c>
      <c r="F41" s="5" t="s">
        <v>187</v>
      </c>
      <c r="G41" s="10" t="str">
        <f t="shared" si="1"/>
        <v>06AABCF5150G1ZZ_ADS406-104287387</v>
      </c>
      <c r="H41" s="7">
        <v>45749</v>
      </c>
      <c r="I41" s="8">
        <v>49.6</v>
      </c>
      <c r="J41" s="8">
        <v>42.03</v>
      </c>
      <c r="K41" s="9">
        <v>0</v>
      </c>
      <c r="L41" s="8">
        <v>7.57</v>
      </c>
      <c r="M41" s="8">
        <v>0</v>
      </c>
      <c r="N41" s="8">
        <v>0</v>
      </c>
      <c r="O41" s="8">
        <v>0</v>
      </c>
      <c r="P41" t="str">
        <f>VLOOKUP(G41,'GST + Invocie No'!$B$4:$Y$185,24,0)</f>
        <v>Book And 2B Match</v>
      </c>
    </row>
    <row r="42" spans="1:16" x14ac:dyDescent="0.3">
      <c r="A42" s="5" t="s">
        <v>238</v>
      </c>
      <c r="B42" s="5" t="s">
        <v>48</v>
      </c>
      <c r="C42" s="5" t="s">
        <v>77</v>
      </c>
      <c r="D42" s="6" t="s">
        <v>266</v>
      </c>
      <c r="E42" s="6" t="s">
        <v>267</v>
      </c>
      <c r="F42" s="5" t="s">
        <v>188</v>
      </c>
      <c r="G42" s="10" t="str">
        <f t="shared" si="1"/>
        <v>06AABCF5150G1ZZ_ADS406-104290423</v>
      </c>
      <c r="H42" s="7">
        <v>45750</v>
      </c>
      <c r="I42" s="8">
        <v>52.6</v>
      </c>
      <c r="J42" s="8">
        <v>44.58</v>
      </c>
      <c r="K42" s="9">
        <v>0</v>
      </c>
      <c r="L42" s="8">
        <v>8.02</v>
      </c>
      <c r="M42" s="8">
        <v>0</v>
      </c>
      <c r="N42" s="8">
        <v>0</v>
      </c>
      <c r="O42" s="8">
        <v>0</v>
      </c>
      <c r="P42" t="str">
        <f>VLOOKUP(G42,'GST + Invocie No'!$B$4:$Y$185,24,0)</f>
        <v>Book And 2B Match</v>
      </c>
    </row>
    <row r="43" spans="1:16" x14ac:dyDescent="0.3">
      <c r="A43" s="5" t="s">
        <v>238</v>
      </c>
      <c r="B43" s="5" t="s">
        <v>48</v>
      </c>
      <c r="C43" s="5" t="s">
        <v>77</v>
      </c>
      <c r="D43" s="6" t="s">
        <v>266</v>
      </c>
      <c r="E43" s="6" t="s">
        <v>267</v>
      </c>
      <c r="F43" s="5" t="s">
        <v>189</v>
      </c>
      <c r="G43" s="10" t="str">
        <f t="shared" si="1"/>
        <v>06AABCF5150G1ZZ_ADS406-104296522</v>
      </c>
      <c r="H43" s="7">
        <v>45752</v>
      </c>
      <c r="I43" s="8">
        <v>47.86</v>
      </c>
      <c r="J43" s="8">
        <v>40.56</v>
      </c>
      <c r="K43" s="9">
        <v>0</v>
      </c>
      <c r="L43" s="8">
        <v>7.3</v>
      </c>
      <c r="M43" s="8">
        <v>0</v>
      </c>
      <c r="N43" s="8">
        <v>0</v>
      </c>
      <c r="O43" s="8">
        <v>0</v>
      </c>
      <c r="P43" t="str">
        <f>VLOOKUP(G43,'GST + Invocie No'!$B$4:$Y$185,24,0)</f>
        <v>Book And 2B Match</v>
      </c>
    </row>
    <row r="44" spans="1:16" x14ac:dyDescent="0.3">
      <c r="A44" s="5" t="s">
        <v>238</v>
      </c>
      <c r="B44" s="5" t="s">
        <v>48</v>
      </c>
      <c r="C44" s="5" t="s">
        <v>77</v>
      </c>
      <c r="D44" s="6" t="s">
        <v>266</v>
      </c>
      <c r="E44" s="6" t="s">
        <v>267</v>
      </c>
      <c r="F44" s="5" t="s">
        <v>190</v>
      </c>
      <c r="G44" s="10" t="str">
        <f t="shared" si="1"/>
        <v>06AABCF5150G1ZZ_ADS406-104299421</v>
      </c>
      <c r="H44" s="7">
        <v>45753</v>
      </c>
      <c r="I44" s="8">
        <v>53.86</v>
      </c>
      <c r="J44" s="8">
        <v>45.64</v>
      </c>
      <c r="K44" s="9">
        <v>0</v>
      </c>
      <c r="L44" s="8">
        <v>8.2200000000000006</v>
      </c>
      <c r="M44" s="8">
        <v>0</v>
      </c>
      <c r="N44" s="8">
        <v>0</v>
      </c>
      <c r="O44" s="8">
        <v>0</v>
      </c>
      <c r="P44" t="str">
        <f>VLOOKUP(G44,'GST + Invocie No'!$B$4:$Y$185,24,0)</f>
        <v>Book And 2B Match</v>
      </c>
    </row>
    <row r="45" spans="1:16" x14ac:dyDescent="0.3">
      <c r="A45" s="5" t="s">
        <v>238</v>
      </c>
      <c r="B45" s="5" t="s">
        <v>48</v>
      </c>
      <c r="C45" s="5" t="s">
        <v>77</v>
      </c>
      <c r="D45" s="6" t="s">
        <v>266</v>
      </c>
      <c r="E45" s="6" t="s">
        <v>267</v>
      </c>
      <c r="F45" s="5" t="s">
        <v>193</v>
      </c>
      <c r="G45" s="10" t="str">
        <f t="shared" si="1"/>
        <v>06AABCF5150G1ZZ_ADS406-104334095</v>
      </c>
      <c r="H45" s="7">
        <v>45764</v>
      </c>
      <c r="I45" s="8">
        <v>50.23</v>
      </c>
      <c r="J45" s="8">
        <v>42.57</v>
      </c>
      <c r="K45" s="9">
        <v>0</v>
      </c>
      <c r="L45" s="8">
        <v>7.66</v>
      </c>
      <c r="M45" s="8">
        <v>0</v>
      </c>
      <c r="N45" s="8">
        <v>0</v>
      </c>
      <c r="O45" s="8">
        <v>0</v>
      </c>
      <c r="P45" t="str">
        <f>VLOOKUP(G45,'GST + Invocie No'!$B$4:$Y$185,24,0)</f>
        <v>Book And 2B Match</v>
      </c>
    </row>
    <row r="46" spans="1:16" x14ac:dyDescent="0.3">
      <c r="A46" s="5" t="s">
        <v>238</v>
      </c>
      <c r="B46" s="5" t="s">
        <v>48</v>
      </c>
      <c r="C46" s="5" t="s">
        <v>77</v>
      </c>
      <c r="D46" s="6" t="s">
        <v>266</v>
      </c>
      <c r="E46" s="6" t="s">
        <v>267</v>
      </c>
      <c r="F46" s="5" t="s">
        <v>194</v>
      </c>
      <c r="G46" s="10" t="str">
        <f t="shared" si="1"/>
        <v>06AABCF5150G1ZZ_ADS406-104336831</v>
      </c>
      <c r="H46" s="7">
        <v>45765</v>
      </c>
      <c r="I46" s="8">
        <v>50.85</v>
      </c>
      <c r="J46" s="8">
        <v>43.09</v>
      </c>
      <c r="K46" s="9">
        <v>0</v>
      </c>
      <c r="L46" s="8">
        <v>7.76</v>
      </c>
      <c r="M46" s="8">
        <v>0</v>
      </c>
      <c r="N46" s="8">
        <v>0</v>
      </c>
      <c r="O46" s="8">
        <v>0</v>
      </c>
      <c r="P46" t="str">
        <f>VLOOKUP(G46,'GST + Invocie No'!$B$4:$Y$185,24,0)</f>
        <v>Book And 2B Match</v>
      </c>
    </row>
    <row r="47" spans="1:16" x14ac:dyDescent="0.3">
      <c r="A47" s="5" t="s">
        <v>238</v>
      </c>
      <c r="B47" s="5" t="s">
        <v>48</v>
      </c>
      <c r="C47" s="5" t="s">
        <v>77</v>
      </c>
      <c r="D47" s="6" t="s">
        <v>266</v>
      </c>
      <c r="E47" s="6" t="s">
        <v>267</v>
      </c>
      <c r="F47" s="5" t="s">
        <v>195</v>
      </c>
      <c r="G47" s="10" t="str">
        <f t="shared" si="1"/>
        <v>06AABCF5150G1ZZ_ADS406-104353979</v>
      </c>
      <c r="H47" s="7">
        <v>45771</v>
      </c>
      <c r="I47" s="8">
        <v>41.76</v>
      </c>
      <c r="J47" s="8">
        <v>35.39</v>
      </c>
      <c r="K47" s="9">
        <v>0</v>
      </c>
      <c r="L47" s="8">
        <v>6.37</v>
      </c>
      <c r="M47" s="8">
        <v>0</v>
      </c>
      <c r="N47" s="8">
        <v>0</v>
      </c>
      <c r="O47" s="8">
        <v>0</v>
      </c>
      <c r="P47" t="str">
        <f>VLOOKUP(G47,'GST + Invocie No'!$B$4:$Y$185,24,0)</f>
        <v>Book And 2B Match</v>
      </c>
    </row>
    <row r="48" spans="1:16" x14ac:dyDescent="0.3">
      <c r="A48" s="5" t="s">
        <v>238</v>
      </c>
      <c r="B48" s="5" t="s">
        <v>48</v>
      </c>
      <c r="C48" s="5" t="s">
        <v>77</v>
      </c>
      <c r="D48" s="6" t="s">
        <v>266</v>
      </c>
      <c r="E48" s="6" t="s">
        <v>267</v>
      </c>
      <c r="F48" s="5" t="s">
        <v>196</v>
      </c>
      <c r="G48" s="10" t="str">
        <f t="shared" si="1"/>
        <v>06AABCF5150G1ZZ_ADS406-104356904</v>
      </c>
      <c r="H48" s="7">
        <v>45772</v>
      </c>
      <c r="I48" s="8">
        <v>57.96</v>
      </c>
      <c r="J48" s="8">
        <v>49.12</v>
      </c>
      <c r="K48" s="9">
        <v>0</v>
      </c>
      <c r="L48" s="8">
        <v>8.84</v>
      </c>
      <c r="M48" s="8">
        <v>0</v>
      </c>
      <c r="N48" s="8">
        <v>0</v>
      </c>
      <c r="O48" s="8">
        <v>0</v>
      </c>
      <c r="P48" t="str">
        <f>VLOOKUP(G48,'GST + Invocie No'!$B$4:$Y$185,24,0)</f>
        <v>Book And 2B Match</v>
      </c>
    </row>
    <row r="49" spans="1:16" x14ac:dyDescent="0.3">
      <c r="A49" s="5" t="s">
        <v>238</v>
      </c>
      <c r="B49" s="5" t="s">
        <v>48</v>
      </c>
      <c r="C49" s="5" t="s">
        <v>77</v>
      </c>
      <c r="D49" s="6" t="s">
        <v>266</v>
      </c>
      <c r="E49" s="6" t="s">
        <v>267</v>
      </c>
      <c r="F49" s="5" t="s">
        <v>197</v>
      </c>
      <c r="G49" s="10" t="str">
        <f t="shared" si="1"/>
        <v>06AABCF5150G1ZZ_ADS406-104359679</v>
      </c>
      <c r="H49" s="7">
        <v>45773</v>
      </c>
      <c r="I49" s="8">
        <v>0.05</v>
      </c>
      <c r="J49" s="8">
        <v>0.04</v>
      </c>
      <c r="K49" s="9">
        <v>0</v>
      </c>
      <c r="L49" s="8">
        <v>0.01</v>
      </c>
      <c r="M49" s="8">
        <v>0</v>
      </c>
      <c r="N49" s="8">
        <v>0</v>
      </c>
      <c r="O49" s="8">
        <v>0</v>
      </c>
      <c r="P49" t="str">
        <f>VLOOKUP(G49,'GST + Invocie No'!$B$4:$Y$185,24,0)</f>
        <v>Book And 2B Match</v>
      </c>
    </row>
    <row r="50" spans="1:16" x14ac:dyDescent="0.3">
      <c r="A50" s="5" t="s">
        <v>238</v>
      </c>
      <c r="B50" s="5" t="s">
        <v>48</v>
      </c>
      <c r="C50" s="5" t="s">
        <v>77</v>
      </c>
      <c r="D50" s="6" t="s">
        <v>266</v>
      </c>
      <c r="E50" s="6" t="s">
        <v>267</v>
      </c>
      <c r="F50" s="5" t="s">
        <v>198</v>
      </c>
      <c r="G50" s="10" t="str">
        <f t="shared" si="1"/>
        <v>06AABCF5150G1ZZ_ADS406-104368307</v>
      </c>
      <c r="H50" s="7">
        <v>45776</v>
      </c>
      <c r="I50" s="8">
        <v>47.48</v>
      </c>
      <c r="J50" s="8">
        <v>40.24</v>
      </c>
      <c r="K50" s="9">
        <v>0</v>
      </c>
      <c r="L50" s="8">
        <v>7.24</v>
      </c>
      <c r="M50" s="8">
        <v>0</v>
      </c>
      <c r="N50" s="8">
        <v>0</v>
      </c>
      <c r="O50" s="8">
        <v>0</v>
      </c>
      <c r="P50" t="str">
        <f>VLOOKUP(G50,'GST + Invocie No'!$B$4:$Y$185,24,0)</f>
        <v>Book And 2B Match</v>
      </c>
    </row>
    <row r="51" spans="1:16" x14ac:dyDescent="0.3">
      <c r="A51" s="5" t="s">
        <v>238</v>
      </c>
      <c r="B51" s="5" t="s">
        <v>48</v>
      </c>
      <c r="C51" s="5" t="s">
        <v>77</v>
      </c>
      <c r="D51" s="6" t="s">
        <v>266</v>
      </c>
      <c r="E51" s="6" t="s">
        <v>267</v>
      </c>
      <c r="F51" s="5" t="s">
        <v>199</v>
      </c>
      <c r="G51" s="10" t="str">
        <f t="shared" si="1"/>
        <v>06AABCF5150G1ZZ_ADS406-104371660</v>
      </c>
      <c r="H51" s="7">
        <v>45777</v>
      </c>
      <c r="I51" s="8">
        <v>52.66</v>
      </c>
      <c r="J51" s="8">
        <v>44.63</v>
      </c>
      <c r="K51" s="9">
        <v>0</v>
      </c>
      <c r="L51" s="8">
        <v>8.0299999999999994</v>
      </c>
      <c r="M51" s="8">
        <v>0</v>
      </c>
      <c r="N51" s="8">
        <v>0</v>
      </c>
      <c r="O51" s="8">
        <v>0</v>
      </c>
      <c r="P51" t="str">
        <f>VLOOKUP(G51,'GST + Invocie No'!$B$4:$Y$185,24,0)</f>
        <v>Book And 2B Match</v>
      </c>
    </row>
    <row r="52" spans="1:16" x14ac:dyDescent="0.3">
      <c r="A52" s="5" t="s">
        <v>239</v>
      </c>
      <c r="B52" s="5" t="s">
        <v>48</v>
      </c>
      <c r="C52" s="5" t="s">
        <v>77</v>
      </c>
      <c r="D52" s="6" t="s">
        <v>266</v>
      </c>
      <c r="E52" s="6" t="s">
        <v>267</v>
      </c>
      <c r="F52" s="5" t="s">
        <v>202</v>
      </c>
      <c r="G52" s="10" t="str">
        <f t="shared" si="1"/>
        <v>06AABCF5150G1ZZ_ADS406-104380265</v>
      </c>
      <c r="H52" s="7">
        <v>45780</v>
      </c>
      <c r="I52" s="8">
        <v>48.16</v>
      </c>
      <c r="J52" s="8">
        <v>40.81</v>
      </c>
      <c r="K52" s="9">
        <v>0</v>
      </c>
      <c r="L52" s="8">
        <v>7.35</v>
      </c>
      <c r="M52" s="8">
        <v>0</v>
      </c>
      <c r="N52" s="8">
        <v>0</v>
      </c>
      <c r="O52" s="8">
        <v>0</v>
      </c>
      <c r="P52" t="str">
        <f>VLOOKUP(G52,'GST + Invocie No'!$B$4:$Y$185,24,0)</f>
        <v>Book And 2B Match</v>
      </c>
    </row>
    <row r="53" spans="1:16" x14ac:dyDescent="0.3">
      <c r="A53" s="5" t="s">
        <v>239</v>
      </c>
      <c r="B53" s="5" t="s">
        <v>48</v>
      </c>
      <c r="C53" s="5" t="s">
        <v>77</v>
      </c>
      <c r="D53" s="6" t="s">
        <v>266</v>
      </c>
      <c r="E53" s="6" t="s">
        <v>267</v>
      </c>
      <c r="F53" s="5" t="s">
        <v>203</v>
      </c>
      <c r="G53" s="10" t="str">
        <f t="shared" si="1"/>
        <v>06AABCF5150G1ZZ_ADS406-104383153</v>
      </c>
      <c r="H53" s="7">
        <v>45781</v>
      </c>
      <c r="I53" s="8">
        <v>52.32</v>
      </c>
      <c r="J53" s="8">
        <v>44.34</v>
      </c>
      <c r="K53" s="9">
        <v>0</v>
      </c>
      <c r="L53" s="8">
        <v>7.98</v>
      </c>
      <c r="M53" s="8">
        <v>0</v>
      </c>
      <c r="N53" s="8">
        <v>0</v>
      </c>
      <c r="O53" s="8">
        <v>0</v>
      </c>
      <c r="P53" t="str">
        <f>VLOOKUP(G53,'GST + Invocie No'!$B$4:$Y$185,24,0)</f>
        <v>Book And 2B Match</v>
      </c>
    </row>
    <row r="54" spans="1:16" x14ac:dyDescent="0.3">
      <c r="A54" s="5" t="s">
        <v>239</v>
      </c>
      <c r="B54" s="5" t="s">
        <v>48</v>
      </c>
      <c r="C54" s="5" t="s">
        <v>77</v>
      </c>
      <c r="D54" s="6" t="s">
        <v>266</v>
      </c>
      <c r="E54" s="6" t="s">
        <v>267</v>
      </c>
      <c r="F54" s="5" t="s">
        <v>206</v>
      </c>
      <c r="G54" s="10" t="str">
        <f t="shared" si="1"/>
        <v>06AABCF5150G1ZZ_ADS406-104435085</v>
      </c>
      <c r="H54" s="7">
        <v>45797</v>
      </c>
      <c r="I54" s="8">
        <v>8.74</v>
      </c>
      <c r="J54" s="8">
        <v>7.41</v>
      </c>
      <c r="K54" s="9">
        <v>0</v>
      </c>
      <c r="L54" s="8">
        <v>1.33</v>
      </c>
      <c r="M54" s="8">
        <v>0</v>
      </c>
      <c r="N54" s="8">
        <v>0</v>
      </c>
      <c r="O54" s="8">
        <v>0</v>
      </c>
      <c r="P54" t="str">
        <f>VLOOKUP(G54,'GST + Invocie No'!$B$4:$Y$185,24,0)</f>
        <v>Book And 2B Match</v>
      </c>
    </row>
    <row r="55" spans="1:16" x14ac:dyDescent="0.3">
      <c r="A55" s="5" t="s">
        <v>239</v>
      </c>
      <c r="B55" s="5" t="s">
        <v>48</v>
      </c>
      <c r="C55" s="5" t="s">
        <v>77</v>
      </c>
      <c r="D55" s="6" t="s">
        <v>266</v>
      </c>
      <c r="E55" s="6" t="s">
        <v>267</v>
      </c>
      <c r="F55" s="5" t="s">
        <v>207</v>
      </c>
      <c r="G55" s="10" t="str">
        <f t="shared" si="1"/>
        <v>06AABCF5150G1ZZ_ADS406-104438440</v>
      </c>
      <c r="H55" s="7">
        <v>45798</v>
      </c>
      <c r="I55" s="8">
        <v>69.89</v>
      </c>
      <c r="J55" s="8">
        <v>59.23</v>
      </c>
      <c r="K55" s="9">
        <v>0</v>
      </c>
      <c r="L55" s="8">
        <v>10.66</v>
      </c>
      <c r="M55" s="8">
        <v>0</v>
      </c>
      <c r="N55" s="8">
        <v>0</v>
      </c>
      <c r="O55" s="8">
        <v>0</v>
      </c>
      <c r="P55" t="str">
        <f>VLOOKUP(G55,'GST + Invocie No'!$B$4:$Y$185,24,0)</f>
        <v>Book And 2B Match</v>
      </c>
    </row>
    <row r="56" spans="1:16" x14ac:dyDescent="0.3">
      <c r="A56" s="5" t="s">
        <v>240</v>
      </c>
      <c r="B56" s="5" t="s">
        <v>48</v>
      </c>
      <c r="C56" s="5" t="s">
        <v>77</v>
      </c>
      <c r="D56" s="6" t="s">
        <v>266</v>
      </c>
      <c r="E56" s="6" t="s">
        <v>267</v>
      </c>
      <c r="F56" s="5" t="s">
        <v>273</v>
      </c>
      <c r="G56" s="10" t="str">
        <f t="shared" si="1"/>
        <v>06AABCF5150G1ZZ_ADS406-104485890</v>
      </c>
      <c r="H56" s="7">
        <v>45812</v>
      </c>
      <c r="I56" s="8">
        <v>46.4</v>
      </c>
      <c r="J56" s="8">
        <v>39.32</v>
      </c>
      <c r="K56" s="9">
        <v>0</v>
      </c>
      <c r="L56" s="8">
        <v>7.08</v>
      </c>
      <c r="M56" s="8">
        <v>0</v>
      </c>
      <c r="N56" s="8">
        <v>0</v>
      </c>
      <c r="O56" s="8">
        <v>0</v>
      </c>
      <c r="P56" t="str">
        <f>VLOOKUP(G56,'GST + Invocie No'!$B$4:$Y$185,24,0)</f>
        <v>Book And 2B Match</v>
      </c>
    </row>
    <row r="57" spans="1:16" x14ac:dyDescent="0.3">
      <c r="A57" s="5" t="s">
        <v>240</v>
      </c>
      <c r="B57" s="5" t="s">
        <v>48</v>
      </c>
      <c r="C57" s="5" t="s">
        <v>77</v>
      </c>
      <c r="D57" s="6" t="s">
        <v>266</v>
      </c>
      <c r="E57" s="6" t="s">
        <v>267</v>
      </c>
      <c r="F57" s="5" t="s">
        <v>274</v>
      </c>
      <c r="G57" s="10" t="str">
        <f t="shared" si="1"/>
        <v>06AABCF5150G1ZZ_ADS406-104489154</v>
      </c>
      <c r="H57" s="7">
        <v>45813</v>
      </c>
      <c r="I57" s="8">
        <v>55.08</v>
      </c>
      <c r="J57" s="8">
        <v>46.68</v>
      </c>
      <c r="K57" s="9">
        <v>0</v>
      </c>
      <c r="L57" s="8">
        <v>8.4</v>
      </c>
      <c r="M57" s="8">
        <v>0</v>
      </c>
      <c r="N57" s="8">
        <v>0</v>
      </c>
      <c r="O57" s="8">
        <v>0</v>
      </c>
      <c r="P57" t="str">
        <f>VLOOKUP(G57,'GST + Invocie No'!$B$4:$Y$185,24,0)</f>
        <v>Book And 2B Match</v>
      </c>
    </row>
    <row r="58" spans="1:16" x14ac:dyDescent="0.3">
      <c r="A58" s="5" t="s">
        <v>247</v>
      </c>
      <c r="B58" s="5" t="s">
        <v>46</v>
      </c>
      <c r="C58" s="5" t="s">
        <v>75</v>
      </c>
      <c r="D58" s="6" t="s">
        <v>266</v>
      </c>
      <c r="E58" s="6" t="s">
        <v>267</v>
      </c>
      <c r="F58" s="5" t="s">
        <v>157</v>
      </c>
      <c r="G58" s="10" t="str">
        <f t="shared" si="1"/>
        <v>06AAKCG3365R1ZX_RC-3360</v>
      </c>
      <c r="H58" s="7">
        <v>46027</v>
      </c>
      <c r="I58" s="8">
        <v>53100</v>
      </c>
      <c r="J58" s="8">
        <v>45000</v>
      </c>
      <c r="K58" s="9">
        <v>0</v>
      </c>
      <c r="L58" s="8">
        <v>8100</v>
      </c>
      <c r="M58" s="8">
        <v>0</v>
      </c>
      <c r="N58" s="8">
        <v>0</v>
      </c>
      <c r="O58" s="8">
        <v>0</v>
      </c>
      <c r="P58" t="str">
        <f>VLOOKUP(G58,'GST + Invocie No'!$B$4:$Y$185,24,0)</f>
        <v>Book And 2B Match</v>
      </c>
    </row>
    <row r="59" spans="1:16" x14ac:dyDescent="0.3">
      <c r="A59" s="5" t="s">
        <v>236</v>
      </c>
      <c r="B59" s="5" t="s">
        <v>46</v>
      </c>
      <c r="C59" s="5" t="s">
        <v>75</v>
      </c>
      <c r="D59" s="6" t="s">
        <v>266</v>
      </c>
      <c r="E59" s="6" t="s">
        <v>267</v>
      </c>
      <c r="F59" s="5" t="s">
        <v>168</v>
      </c>
      <c r="G59" s="10" t="str">
        <f t="shared" si="1"/>
        <v>06AAKCG3365R1ZX_RC-3766</v>
      </c>
      <c r="H59" s="7">
        <v>46055</v>
      </c>
      <c r="I59" s="8">
        <v>53100</v>
      </c>
      <c r="J59" s="8">
        <v>45000</v>
      </c>
      <c r="K59" s="9">
        <v>0</v>
      </c>
      <c r="L59" s="8">
        <v>8100</v>
      </c>
      <c r="M59" s="8">
        <v>0</v>
      </c>
      <c r="N59" s="8">
        <v>0</v>
      </c>
      <c r="O59" s="8">
        <v>0</v>
      </c>
      <c r="P59" t="str">
        <f>VLOOKUP(G59,'GST + Invocie No'!$B$4:$Y$185,24,0)</f>
        <v>Book And 2B Match</v>
      </c>
    </row>
    <row r="60" spans="1:16" x14ac:dyDescent="0.3">
      <c r="A60" s="5" t="s">
        <v>236</v>
      </c>
      <c r="B60" s="5" t="s">
        <v>46</v>
      </c>
      <c r="C60" s="5" t="s">
        <v>75</v>
      </c>
      <c r="D60" s="6" t="s">
        <v>266</v>
      </c>
      <c r="E60" s="6" t="s">
        <v>267</v>
      </c>
      <c r="F60" s="5" t="s">
        <v>275</v>
      </c>
      <c r="G60" s="10" t="str">
        <f t="shared" si="1"/>
        <v>06AAKCG3365R1ZX_RC-4223</v>
      </c>
      <c r="H60" s="7">
        <v>46084</v>
      </c>
      <c r="I60" s="8">
        <v>53100</v>
      </c>
      <c r="J60" s="8">
        <v>45000</v>
      </c>
      <c r="K60" s="9">
        <v>0</v>
      </c>
      <c r="L60" s="8">
        <v>8100</v>
      </c>
      <c r="M60" s="8">
        <v>0</v>
      </c>
      <c r="N60" s="8">
        <v>0</v>
      </c>
      <c r="O60" s="8">
        <v>0</v>
      </c>
      <c r="P60" t="str">
        <f>VLOOKUP(G60,'GST + Invocie No'!$B$4:$Y$185,24,0)</f>
        <v>Book And 2B Match</v>
      </c>
    </row>
    <row r="61" spans="1:16" x14ac:dyDescent="0.3">
      <c r="A61" s="5" t="s">
        <v>236</v>
      </c>
      <c r="B61" s="5" t="s">
        <v>46</v>
      </c>
      <c r="C61" s="5" t="s">
        <v>75</v>
      </c>
      <c r="D61" s="6" t="s">
        <v>266</v>
      </c>
      <c r="E61" s="6" t="s">
        <v>267</v>
      </c>
      <c r="F61" s="5" t="s">
        <v>276</v>
      </c>
      <c r="G61" s="10" t="str">
        <f t="shared" si="1"/>
        <v>06AAKCG3365R1ZX_RC-4546</v>
      </c>
      <c r="H61" s="7">
        <v>46112</v>
      </c>
      <c r="I61" s="8">
        <v>53100</v>
      </c>
      <c r="J61" s="8">
        <v>45000</v>
      </c>
      <c r="K61" s="9">
        <v>0</v>
      </c>
      <c r="L61" s="8">
        <v>8100</v>
      </c>
      <c r="M61" s="8">
        <v>0</v>
      </c>
      <c r="N61" s="8">
        <v>0</v>
      </c>
      <c r="O61" s="8">
        <v>0</v>
      </c>
      <c r="P61" t="str">
        <f>VLOOKUP(G61,'GST + Invocie No'!$B$4:$Y$185,24,0)</f>
        <v>Book And 2B Match</v>
      </c>
    </row>
    <row r="62" spans="1:16" x14ac:dyDescent="0.3">
      <c r="A62" s="5" t="s">
        <v>245</v>
      </c>
      <c r="B62" s="5" t="s">
        <v>57</v>
      </c>
      <c r="C62" s="5" t="s">
        <v>86</v>
      </c>
      <c r="D62" s="6" t="s">
        <v>266</v>
      </c>
      <c r="E62" s="6" t="s">
        <v>267</v>
      </c>
      <c r="F62" s="5" t="s">
        <v>225</v>
      </c>
      <c r="G62" s="10" t="str">
        <f t="shared" si="1"/>
        <v>27AAACI1195H1ZM_0138251355278901</v>
      </c>
      <c r="H62" s="7">
        <v>46002</v>
      </c>
      <c r="I62" s="8">
        <v>2360</v>
      </c>
      <c r="J62" s="8">
        <v>2000</v>
      </c>
      <c r="K62" s="9">
        <v>0</v>
      </c>
      <c r="L62" s="8">
        <v>0</v>
      </c>
      <c r="M62" s="8">
        <v>180</v>
      </c>
      <c r="N62" s="8">
        <v>180</v>
      </c>
      <c r="O62" s="8">
        <v>0</v>
      </c>
      <c r="P62" t="str">
        <f>VLOOKUP(G62,'GST + Invocie No'!$B$4:$Y$185,24,0)</f>
        <v>Book And 2B Match</v>
      </c>
    </row>
    <row r="63" spans="1:16" x14ac:dyDescent="0.3">
      <c r="A63" s="5" t="s">
        <v>247</v>
      </c>
      <c r="B63" s="5" t="s">
        <v>57</v>
      </c>
      <c r="C63" s="5" t="s">
        <v>86</v>
      </c>
      <c r="D63" s="6" t="s">
        <v>266</v>
      </c>
      <c r="E63" s="6" t="s">
        <v>267</v>
      </c>
      <c r="F63" s="5" t="s">
        <v>226</v>
      </c>
      <c r="G63" s="10" t="str">
        <f t="shared" si="1"/>
        <v>27AAACI1195H1ZM_0138261372750757</v>
      </c>
      <c r="H63" s="7">
        <v>46058</v>
      </c>
      <c r="I63" s="8">
        <v>17.7</v>
      </c>
      <c r="J63" s="8">
        <v>15</v>
      </c>
      <c r="K63" s="9">
        <v>0</v>
      </c>
      <c r="L63" s="8">
        <v>0</v>
      </c>
      <c r="M63" s="8">
        <v>1.35</v>
      </c>
      <c r="N63" s="8">
        <v>1.35</v>
      </c>
      <c r="O63" s="8">
        <v>0</v>
      </c>
      <c r="P63" t="str">
        <f>VLOOKUP(G63,'GST + Invocie No'!$B$4:$Y$185,24,0)</f>
        <v>Book And 2B Match</v>
      </c>
    </row>
    <row r="64" spans="1:16" x14ac:dyDescent="0.3">
      <c r="A64" s="5" t="s">
        <v>247</v>
      </c>
      <c r="B64" s="5" t="s">
        <v>57</v>
      </c>
      <c r="C64" s="5" t="s">
        <v>86</v>
      </c>
      <c r="D64" s="6" t="s">
        <v>266</v>
      </c>
      <c r="E64" s="6" t="s">
        <v>267</v>
      </c>
      <c r="F64" s="5" t="s">
        <v>227</v>
      </c>
      <c r="G64" s="10" t="str">
        <f t="shared" si="1"/>
        <v>27AAACI1195H1ZM_0138261384051212</v>
      </c>
      <c r="H64" s="7">
        <v>46080</v>
      </c>
      <c r="I64" s="8">
        <v>529407</v>
      </c>
      <c r="J64" s="8">
        <v>448650</v>
      </c>
      <c r="K64" s="9">
        <v>0</v>
      </c>
      <c r="L64" s="8">
        <v>0</v>
      </c>
      <c r="M64" s="8">
        <v>40378.5</v>
      </c>
      <c r="N64" s="8">
        <v>40378.5</v>
      </c>
      <c r="O64" s="8">
        <v>0</v>
      </c>
      <c r="P64" t="str">
        <f>VLOOKUP(G64,'GST + Invocie No'!$B$4:$Y$185,24,0)</f>
        <v>Book And 2B Match</v>
      </c>
    </row>
    <row r="65" spans="1:16" x14ac:dyDescent="0.3">
      <c r="A65" s="5" t="s">
        <v>247</v>
      </c>
      <c r="B65" s="5" t="s">
        <v>57</v>
      </c>
      <c r="C65" s="5" t="s">
        <v>86</v>
      </c>
      <c r="D65" s="6" t="s">
        <v>266</v>
      </c>
      <c r="E65" s="6" t="s">
        <v>267</v>
      </c>
      <c r="F65" s="5" t="s">
        <v>228</v>
      </c>
      <c r="G65" s="10" t="str">
        <f t="shared" si="1"/>
        <v>27AAACI1195H1ZM_0138261384181047</v>
      </c>
      <c r="H65" s="7">
        <v>46081</v>
      </c>
      <c r="I65" s="8">
        <v>235764</v>
      </c>
      <c r="J65" s="8">
        <v>199800</v>
      </c>
      <c r="K65" s="9">
        <v>0</v>
      </c>
      <c r="L65" s="8">
        <v>0</v>
      </c>
      <c r="M65" s="8">
        <v>17982</v>
      </c>
      <c r="N65" s="8">
        <v>17982</v>
      </c>
      <c r="O65" s="8">
        <v>0</v>
      </c>
      <c r="P65" t="str">
        <f>VLOOKUP(G65,'GST + Invocie No'!$B$4:$Y$185,24,0)</f>
        <v>Book And 2B Match</v>
      </c>
    </row>
    <row r="66" spans="1:16" x14ac:dyDescent="0.3">
      <c r="A66" s="5" t="s">
        <v>247</v>
      </c>
      <c r="B66" s="5" t="s">
        <v>57</v>
      </c>
      <c r="C66" s="5" t="s">
        <v>86</v>
      </c>
      <c r="D66" s="6" t="s">
        <v>266</v>
      </c>
      <c r="E66" s="6" t="s">
        <v>267</v>
      </c>
      <c r="F66" s="5" t="s">
        <v>229</v>
      </c>
      <c r="G66" s="10" t="str">
        <f t="shared" si="1"/>
        <v>27AAACI1195H1ZM_0138261384181210</v>
      </c>
      <c r="H66" s="7">
        <v>46081</v>
      </c>
      <c r="I66" s="8">
        <v>236</v>
      </c>
      <c r="J66" s="8">
        <v>200</v>
      </c>
      <c r="K66" s="9">
        <v>0</v>
      </c>
      <c r="L66" s="8">
        <v>0</v>
      </c>
      <c r="M66" s="8">
        <v>18</v>
      </c>
      <c r="N66" s="8">
        <v>18</v>
      </c>
      <c r="O66" s="8">
        <v>0</v>
      </c>
      <c r="P66" t="str">
        <f>VLOOKUP(G66,'GST + Invocie No'!$B$4:$Y$185,24,0)</f>
        <v>Book And 2B Match</v>
      </c>
    </row>
    <row r="67" spans="1:16" x14ac:dyDescent="0.3">
      <c r="A67" s="5" t="s">
        <v>236</v>
      </c>
      <c r="B67" s="5" t="s">
        <v>57</v>
      </c>
      <c r="C67" s="5" t="s">
        <v>86</v>
      </c>
      <c r="D67" s="6" t="s">
        <v>266</v>
      </c>
      <c r="E67" s="6" t="s">
        <v>267</v>
      </c>
      <c r="F67" s="5" t="s">
        <v>230</v>
      </c>
      <c r="G67" s="10" t="str">
        <f t="shared" si="1"/>
        <v>27AAACI1195H1ZM_0138261386221113</v>
      </c>
      <c r="H67" s="7">
        <v>46088</v>
      </c>
      <c r="I67" s="8">
        <v>1.18</v>
      </c>
      <c r="J67" s="8">
        <v>1</v>
      </c>
      <c r="K67" s="9">
        <v>0</v>
      </c>
      <c r="L67" s="8">
        <v>0</v>
      </c>
      <c r="M67" s="8">
        <v>0.09</v>
      </c>
      <c r="N67" s="8">
        <v>0.09</v>
      </c>
      <c r="O67" s="8">
        <v>0</v>
      </c>
      <c r="P67" t="str">
        <f>VLOOKUP(G67,'GST + Invocie No'!$B$4:$Y$185,24,0)</f>
        <v>Book And 2B Match</v>
      </c>
    </row>
    <row r="68" spans="1:16" x14ac:dyDescent="0.3">
      <c r="A68" s="5" t="s">
        <v>240</v>
      </c>
      <c r="B68" s="5" t="s">
        <v>250</v>
      </c>
      <c r="C68" s="5" t="s">
        <v>82</v>
      </c>
      <c r="D68" s="6" t="s">
        <v>266</v>
      </c>
      <c r="E68" s="6" t="s">
        <v>267</v>
      </c>
      <c r="F68" s="5" t="s">
        <v>213</v>
      </c>
      <c r="G68" s="10" t="str">
        <f t="shared" si="1"/>
        <v>27AANFJ4391E1Z4_J/25-26/660</v>
      </c>
      <c r="H68" s="7">
        <v>45827</v>
      </c>
      <c r="I68" s="8">
        <v>8496</v>
      </c>
      <c r="J68" s="8">
        <v>7200</v>
      </c>
      <c r="K68" s="9">
        <v>0</v>
      </c>
      <c r="L68" s="8">
        <v>0</v>
      </c>
      <c r="M68" s="8">
        <v>648</v>
      </c>
      <c r="N68" s="8">
        <v>648</v>
      </c>
      <c r="O68" s="8">
        <v>0</v>
      </c>
      <c r="P68" t="str">
        <f>VLOOKUP(G68,'GST + Invocie No'!$B$4:$Y$185,24,0)</f>
        <v>Book And 2B Match</v>
      </c>
    </row>
    <row r="69" spans="1:16" x14ac:dyDescent="0.3">
      <c r="A69" s="5" t="s">
        <v>247</v>
      </c>
      <c r="B69" s="5" t="s">
        <v>56</v>
      </c>
      <c r="C69" s="5" t="s">
        <v>85</v>
      </c>
      <c r="D69" s="6" t="s">
        <v>266</v>
      </c>
      <c r="E69" s="6" t="s">
        <v>267</v>
      </c>
      <c r="F69" s="5" t="s">
        <v>224</v>
      </c>
      <c r="G69" s="10" t="str">
        <f t="shared" ref="G69:G132" si="2">CONCATENATE(C69,"_",F69)</f>
        <v>27AACCL9508M1Z1_IRG/2526/0028267</v>
      </c>
      <c r="H69" s="7">
        <v>46078</v>
      </c>
      <c r="I69" s="8">
        <v>10207</v>
      </c>
      <c r="J69" s="8">
        <v>8650</v>
      </c>
      <c r="K69" s="9">
        <v>0</v>
      </c>
      <c r="L69" s="8">
        <v>0</v>
      </c>
      <c r="M69" s="8">
        <v>778.5</v>
      </c>
      <c r="N69" s="8">
        <v>778.5</v>
      </c>
      <c r="O69" s="8">
        <v>0</v>
      </c>
      <c r="P69" t="str">
        <f>VLOOKUP(G69,'GST + Invocie No'!$B$4:$Y$185,24,0)</f>
        <v>Book And 2B Match</v>
      </c>
    </row>
    <row r="70" spans="1:16" x14ac:dyDescent="0.3">
      <c r="A70" s="5" t="s">
        <v>239</v>
      </c>
      <c r="B70" s="5" t="s">
        <v>251</v>
      </c>
      <c r="C70" s="5" t="s">
        <v>80</v>
      </c>
      <c r="D70" s="6" t="s">
        <v>266</v>
      </c>
      <c r="E70" s="6" t="s">
        <v>267</v>
      </c>
      <c r="F70" s="5" t="s">
        <v>205</v>
      </c>
      <c r="G70" s="10" t="str">
        <f t="shared" si="2"/>
        <v>27AAWFM3818Q1Z9_MCO25-26794</v>
      </c>
      <c r="H70" s="7">
        <v>45797</v>
      </c>
      <c r="I70" s="8">
        <v>39825</v>
      </c>
      <c r="J70" s="8">
        <v>33750</v>
      </c>
      <c r="K70" s="9">
        <v>0</v>
      </c>
      <c r="L70" s="8">
        <v>0</v>
      </c>
      <c r="M70" s="8">
        <v>3037.5</v>
      </c>
      <c r="N70" s="8">
        <v>3037.5</v>
      </c>
      <c r="O70" s="8">
        <v>0</v>
      </c>
      <c r="P70" t="str">
        <f>VLOOKUP(G70,'GST + Invocie No'!$B$4:$Y$185,24,0)</f>
        <v>Book And 2B Match</v>
      </c>
    </row>
    <row r="71" spans="1:16" x14ac:dyDescent="0.3">
      <c r="A71" s="5" t="s">
        <v>240</v>
      </c>
      <c r="B71" s="5" t="s">
        <v>251</v>
      </c>
      <c r="C71" s="5" t="s">
        <v>80</v>
      </c>
      <c r="D71" s="6" t="s">
        <v>266</v>
      </c>
      <c r="E71" s="6" t="s">
        <v>267</v>
      </c>
      <c r="F71" s="5" t="s">
        <v>212</v>
      </c>
      <c r="G71" s="10" t="str">
        <f t="shared" si="2"/>
        <v>27AAWFM3818Q1Z9_MCO2526838</v>
      </c>
      <c r="H71" s="7">
        <v>45820</v>
      </c>
      <c r="I71" s="8">
        <v>39825</v>
      </c>
      <c r="J71" s="8">
        <v>33750</v>
      </c>
      <c r="K71" s="9">
        <v>0</v>
      </c>
      <c r="L71" s="8">
        <v>0</v>
      </c>
      <c r="M71" s="8">
        <v>3037.5</v>
      </c>
      <c r="N71" s="8">
        <v>3037.5</v>
      </c>
      <c r="O71" s="8">
        <v>0</v>
      </c>
      <c r="P71" t="str">
        <f>VLOOKUP(G71,'GST + Invocie No'!$B$4:$Y$185,24,0)</f>
        <v>Book And 2B Match</v>
      </c>
    </row>
    <row r="72" spans="1:16" x14ac:dyDescent="0.3">
      <c r="A72" s="5" t="s">
        <v>241</v>
      </c>
      <c r="B72" s="5" t="s">
        <v>251</v>
      </c>
      <c r="C72" s="5" t="s">
        <v>80</v>
      </c>
      <c r="D72" s="6" t="s">
        <v>266</v>
      </c>
      <c r="E72" s="6" t="s">
        <v>267</v>
      </c>
      <c r="F72" s="5" t="s">
        <v>214</v>
      </c>
      <c r="G72" s="10" t="str">
        <f t="shared" si="2"/>
        <v>27AAWFM3818Q1Z9_MCO2526856</v>
      </c>
      <c r="H72" s="7">
        <v>45842</v>
      </c>
      <c r="I72" s="8">
        <v>39825</v>
      </c>
      <c r="J72" s="8">
        <v>33750</v>
      </c>
      <c r="K72" s="9">
        <v>0</v>
      </c>
      <c r="L72" s="8">
        <v>0</v>
      </c>
      <c r="M72" s="8">
        <v>3037.5</v>
      </c>
      <c r="N72" s="8">
        <v>3037.5</v>
      </c>
      <c r="O72" s="8">
        <v>0</v>
      </c>
      <c r="P72" t="str">
        <f>VLOOKUP(G72,'GST + Invocie No'!$B$4:$Y$185,24,0)</f>
        <v>Book And 2B Match</v>
      </c>
    </row>
    <row r="73" spans="1:16" x14ac:dyDescent="0.3">
      <c r="A73" s="5" t="s">
        <v>235</v>
      </c>
      <c r="B73" s="5" t="s">
        <v>251</v>
      </c>
      <c r="C73" s="5" t="s">
        <v>80</v>
      </c>
      <c r="D73" s="6" t="s">
        <v>266</v>
      </c>
      <c r="E73" s="6" t="s">
        <v>267</v>
      </c>
      <c r="F73" s="5" t="s">
        <v>215</v>
      </c>
      <c r="G73" s="10" t="str">
        <f t="shared" si="2"/>
        <v>27AAWFM3818Q1Z9_MCO2526876</v>
      </c>
      <c r="H73" s="7">
        <v>45870</v>
      </c>
      <c r="I73" s="8">
        <v>39825</v>
      </c>
      <c r="J73" s="8">
        <v>33750</v>
      </c>
      <c r="K73" s="9">
        <v>0</v>
      </c>
      <c r="L73" s="8">
        <v>0</v>
      </c>
      <c r="M73" s="8">
        <v>3037.5</v>
      </c>
      <c r="N73" s="8">
        <v>3037.5</v>
      </c>
      <c r="O73" s="8">
        <v>0</v>
      </c>
      <c r="P73" t="str">
        <f>VLOOKUP(G73,'GST + Invocie No'!$B$4:$Y$185,24,0)</f>
        <v>Book And 2B Match</v>
      </c>
    </row>
    <row r="74" spans="1:16" x14ac:dyDescent="0.3">
      <c r="A74" s="5" t="s">
        <v>243</v>
      </c>
      <c r="B74" s="5" t="s">
        <v>251</v>
      </c>
      <c r="C74" s="5" t="s">
        <v>80</v>
      </c>
      <c r="D74" s="6" t="s">
        <v>266</v>
      </c>
      <c r="E74" s="6" t="s">
        <v>267</v>
      </c>
      <c r="F74" s="5" t="s">
        <v>218</v>
      </c>
      <c r="G74" s="10" t="str">
        <f t="shared" si="2"/>
        <v>27AAWFM3818Q1Z9_MCO2526965</v>
      </c>
      <c r="H74" s="7">
        <v>45933</v>
      </c>
      <c r="I74" s="8">
        <v>39825</v>
      </c>
      <c r="J74" s="8">
        <v>33750</v>
      </c>
      <c r="K74" s="9">
        <v>0</v>
      </c>
      <c r="L74" s="8">
        <v>0</v>
      </c>
      <c r="M74" s="8">
        <v>3037.5</v>
      </c>
      <c r="N74" s="8">
        <v>3037.5</v>
      </c>
      <c r="O74" s="8">
        <v>0</v>
      </c>
      <c r="P74" t="str">
        <f>VLOOKUP(G74,'GST + Invocie No'!$B$4:$Y$185,24,0)</f>
        <v>Book And 2B Match</v>
      </c>
    </row>
    <row r="75" spans="1:16" x14ac:dyDescent="0.3">
      <c r="A75" s="5" t="s">
        <v>244</v>
      </c>
      <c r="B75" s="5" t="s">
        <v>251</v>
      </c>
      <c r="C75" s="5" t="s">
        <v>80</v>
      </c>
      <c r="D75" s="6" t="s">
        <v>266</v>
      </c>
      <c r="E75" s="6" t="s">
        <v>267</v>
      </c>
      <c r="F75" s="5" t="s">
        <v>219</v>
      </c>
      <c r="G75" s="10" t="str">
        <f t="shared" si="2"/>
        <v>27AAWFM3818Q1Z9_MCO25261017</v>
      </c>
      <c r="H75" s="7">
        <v>45964</v>
      </c>
      <c r="I75" s="8">
        <v>39825</v>
      </c>
      <c r="J75" s="8">
        <v>33750</v>
      </c>
      <c r="K75" s="9">
        <v>0</v>
      </c>
      <c r="L75" s="8">
        <v>0</v>
      </c>
      <c r="M75" s="8">
        <v>3037.5</v>
      </c>
      <c r="N75" s="8">
        <v>3037.5</v>
      </c>
      <c r="O75" s="8">
        <v>0</v>
      </c>
      <c r="P75" t="str">
        <f>VLOOKUP(G75,'GST + Invocie No'!$B$4:$Y$185,24,0)</f>
        <v>Book And 2B Match</v>
      </c>
    </row>
    <row r="76" spans="1:16" x14ac:dyDescent="0.3">
      <c r="A76" s="5" t="s">
        <v>245</v>
      </c>
      <c r="B76" s="5" t="s">
        <v>251</v>
      </c>
      <c r="C76" s="5" t="s">
        <v>80</v>
      </c>
      <c r="D76" s="6" t="s">
        <v>266</v>
      </c>
      <c r="E76" s="6" t="s">
        <v>267</v>
      </c>
      <c r="F76" s="5" t="s">
        <v>221</v>
      </c>
      <c r="G76" s="10" t="str">
        <f t="shared" si="2"/>
        <v>27AAWFM3818Q1Z9_MCO25261055</v>
      </c>
      <c r="H76" s="7">
        <v>45994</v>
      </c>
      <c r="I76" s="8">
        <v>39825</v>
      </c>
      <c r="J76" s="8">
        <v>33750</v>
      </c>
      <c r="K76" s="9">
        <v>0</v>
      </c>
      <c r="L76" s="8">
        <v>0</v>
      </c>
      <c r="M76" s="8">
        <v>3037.5</v>
      </c>
      <c r="N76" s="8">
        <v>3037.5</v>
      </c>
      <c r="O76" s="8">
        <v>0</v>
      </c>
      <c r="P76" t="str">
        <f>VLOOKUP(G76,'GST + Invocie No'!$B$4:$Y$185,24,0)</f>
        <v>Book And 2B Match</v>
      </c>
    </row>
    <row r="77" spans="1:16" x14ac:dyDescent="0.3">
      <c r="A77" s="5" t="s">
        <v>246</v>
      </c>
      <c r="B77" s="5" t="s">
        <v>251</v>
      </c>
      <c r="C77" s="5" t="s">
        <v>80</v>
      </c>
      <c r="D77" s="6" t="s">
        <v>266</v>
      </c>
      <c r="E77" s="6" t="s">
        <v>267</v>
      </c>
      <c r="F77" s="5" t="s">
        <v>222</v>
      </c>
      <c r="G77" s="10" t="str">
        <f t="shared" si="2"/>
        <v>27AAWFM3818Q1Z9_MCO25261086</v>
      </c>
      <c r="H77" s="7">
        <v>46024</v>
      </c>
      <c r="I77" s="8">
        <v>39825</v>
      </c>
      <c r="J77" s="8">
        <v>33750</v>
      </c>
      <c r="K77" s="9">
        <v>0</v>
      </c>
      <c r="L77" s="8">
        <v>0</v>
      </c>
      <c r="M77" s="8">
        <v>3037.5</v>
      </c>
      <c r="N77" s="8">
        <v>3037.5</v>
      </c>
      <c r="O77" s="8">
        <v>0</v>
      </c>
      <c r="P77" t="str">
        <f>VLOOKUP(G77,'GST + Invocie No'!$B$4:$Y$185,24,0)</f>
        <v>Book And 2B Match</v>
      </c>
    </row>
    <row r="78" spans="1:16" x14ac:dyDescent="0.3">
      <c r="A78" s="5" t="s">
        <v>247</v>
      </c>
      <c r="B78" s="5" t="s">
        <v>251</v>
      </c>
      <c r="C78" s="5" t="s">
        <v>80</v>
      </c>
      <c r="D78" s="6" t="s">
        <v>266</v>
      </c>
      <c r="E78" s="6" t="s">
        <v>267</v>
      </c>
      <c r="F78" s="5" t="s">
        <v>223</v>
      </c>
      <c r="G78" s="10" t="str">
        <f t="shared" si="2"/>
        <v>27AAWFM3818Q1Z9_MCO25261116</v>
      </c>
      <c r="H78" s="7">
        <v>46055</v>
      </c>
      <c r="I78" s="8">
        <v>39825</v>
      </c>
      <c r="J78" s="8">
        <v>33750</v>
      </c>
      <c r="K78" s="9">
        <v>0</v>
      </c>
      <c r="L78" s="8">
        <v>0</v>
      </c>
      <c r="M78" s="8">
        <v>3037.5</v>
      </c>
      <c r="N78" s="8">
        <v>3037.5</v>
      </c>
      <c r="O78" s="8">
        <v>0</v>
      </c>
      <c r="P78" t="str">
        <f>VLOOKUP(G78,'GST + Invocie No'!$B$4:$Y$185,24,0)</f>
        <v>Book And 2B Match</v>
      </c>
    </row>
    <row r="79" spans="1:16" x14ac:dyDescent="0.3">
      <c r="A79" s="5" t="s">
        <v>236</v>
      </c>
      <c r="B79" s="5" t="s">
        <v>251</v>
      </c>
      <c r="C79" s="5" t="s">
        <v>80</v>
      </c>
      <c r="D79" s="6" t="s">
        <v>266</v>
      </c>
      <c r="E79" s="6" t="s">
        <v>267</v>
      </c>
      <c r="F79" s="5" t="s">
        <v>231</v>
      </c>
      <c r="G79" s="10" t="str">
        <f t="shared" si="2"/>
        <v>27AAWFM3818Q1Z9_MCO25261216</v>
      </c>
      <c r="H79" s="7">
        <v>46085</v>
      </c>
      <c r="I79" s="8">
        <v>39825</v>
      </c>
      <c r="J79" s="8">
        <v>33750</v>
      </c>
      <c r="K79" s="9">
        <v>0</v>
      </c>
      <c r="L79" s="8">
        <v>0</v>
      </c>
      <c r="M79" s="8">
        <v>3037.5</v>
      </c>
      <c r="N79" s="8">
        <v>3037.5</v>
      </c>
      <c r="O79" s="8">
        <v>0</v>
      </c>
      <c r="P79" t="str">
        <f>VLOOKUP(G79,'GST + Invocie No'!$B$4:$Y$185,24,0)</f>
        <v>Book And 2B Match</v>
      </c>
    </row>
    <row r="80" spans="1:16" x14ac:dyDescent="0.3">
      <c r="A80" s="5" t="s">
        <v>247</v>
      </c>
      <c r="B80" s="5" t="s">
        <v>252</v>
      </c>
      <c r="C80" s="5" t="s">
        <v>253</v>
      </c>
      <c r="D80" s="6" t="s">
        <v>266</v>
      </c>
      <c r="E80" s="6" t="s">
        <v>267</v>
      </c>
      <c r="F80" s="5" t="s">
        <v>277</v>
      </c>
      <c r="G80" s="10" t="str">
        <f t="shared" si="2"/>
        <v>07AAWFM3818Q1ZB_MCO-D252651</v>
      </c>
      <c r="H80" s="7">
        <v>46072</v>
      </c>
      <c r="I80" s="8">
        <v>295000</v>
      </c>
      <c r="J80" s="8">
        <v>250000</v>
      </c>
      <c r="K80" s="9">
        <v>0</v>
      </c>
      <c r="L80" s="8">
        <v>45000</v>
      </c>
      <c r="M80" s="8">
        <v>0</v>
      </c>
      <c r="N80" s="8">
        <v>0</v>
      </c>
      <c r="O80" s="8">
        <v>0</v>
      </c>
      <c r="P80" t="str">
        <f>VLOOKUP(G80,'GST + Invocie No'!$B$4:$Y$185,24,0)</f>
        <v>Vendor are show in 2B - Tax Invoices and CN</v>
      </c>
    </row>
    <row r="81" spans="1:16" x14ac:dyDescent="0.3">
      <c r="A81" s="5" t="s">
        <v>235</v>
      </c>
      <c r="B81" s="5" t="s">
        <v>44</v>
      </c>
      <c r="C81" s="5" t="s">
        <v>73</v>
      </c>
      <c r="D81" s="6" t="s">
        <v>266</v>
      </c>
      <c r="E81" s="6" t="s">
        <v>267</v>
      </c>
      <c r="F81" s="5" t="s">
        <v>121</v>
      </c>
      <c r="G81" s="10" t="str">
        <f t="shared" si="2"/>
        <v>23AAQCM8669N1ZG_MCPL/25-26/20</v>
      </c>
      <c r="H81" s="7">
        <v>45895</v>
      </c>
      <c r="I81" s="8">
        <v>1809288</v>
      </c>
      <c r="J81" s="8">
        <v>1533295</v>
      </c>
      <c r="K81" s="9">
        <v>0</v>
      </c>
      <c r="L81" s="8">
        <v>275993.09999999998</v>
      </c>
      <c r="M81" s="8">
        <v>0</v>
      </c>
      <c r="N81" s="8">
        <v>0</v>
      </c>
      <c r="O81" s="8">
        <v>0</v>
      </c>
      <c r="P81" t="str">
        <f>VLOOKUP(G81,'GST + Invocie No'!$B$4:$Y$185,24,0)</f>
        <v>Book And 2B Match</v>
      </c>
    </row>
    <row r="82" spans="1:16" x14ac:dyDescent="0.3">
      <c r="A82" s="5" t="s">
        <v>242</v>
      </c>
      <c r="B82" s="5" t="s">
        <v>44</v>
      </c>
      <c r="C82" s="5" t="s">
        <v>73</v>
      </c>
      <c r="D82" s="6" t="s">
        <v>266</v>
      </c>
      <c r="E82" s="6" t="s">
        <v>267</v>
      </c>
      <c r="F82" s="5" t="s">
        <v>126</v>
      </c>
      <c r="G82" s="10" t="str">
        <f t="shared" si="2"/>
        <v>23AAQCM8669N1ZG_MCPL/25-26/24</v>
      </c>
      <c r="H82" s="7">
        <v>45901</v>
      </c>
      <c r="I82" s="8">
        <v>612930</v>
      </c>
      <c r="J82" s="8">
        <v>519432.16</v>
      </c>
      <c r="K82" s="9">
        <v>0</v>
      </c>
      <c r="L82" s="8">
        <v>93498</v>
      </c>
      <c r="M82" s="8">
        <v>0</v>
      </c>
      <c r="N82" s="8">
        <v>0</v>
      </c>
      <c r="O82" s="8">
        <v>0</v>
      </c>
      <c r="P82" t="str">
        <f>VLOOKUP(G82,'GST + Invocie No'!$B$4:$Y$185,24,0)</f>
        <v>Book And 2B Match</v>
      </c>
    </row>
    <row r="83" spans="1:16" x14ac:dyDescent="0.3">
      <c r="A83" s="5" t="s">
        <v>245</v>
      </c>
      <c r="B83" s="5" t="s">
        <v>44</v>
      </c>
      <c r="C83" s="5" t="s">
        <v>73</v>
      </c>
      <c r="D83" s="6" t="s">
        <v>266</v>
      </c>
      <c r="E83" s="6" t="s">
        <v>267</v>
      </c>
      <c r="F83" s="5" t="s">
        <v>278</v>
      </c>
      <c r="G83" s="10" t="str">
        <f t="shared" si="2"/>
        <v>23AAQCM8669N1ZG_MCPL/25-26/34</v>
      </c>
      <c r="H83" s="7">
        <v>45931</v>
      </c>
      <c r="I83" s="8">
        <v>688328</v>
      </c>
      <c r="J83" s="8">
        <v>583328.28</v>
      </c>
      <c r="K83" s="9">
        <v>0</v>
      </c>
      <c r="L83" s="8">
        <v>105000</v>
      </c>
      <c r="M83" s="8">
        <v>0</v>
      </c>
      <c r="N83" s="8">
        <v>0</v>
      </c>
      <c r="O83" s="8">
        <v>0</v>
      </c>
      <c r="P83" t="str">
        <f>VLOOKUP(G83,'GST + Invocie No'!$B$4:$Y$185,24,0)</f>
        <v>Vendor are show in 2B - Tax Invoices and CN</v>
      </c>
    </row>
    <row r="84" spans="1:16" x14ac:dyDescent="0.3">
      <c r="A84" s="5" t="s">
        <v>244</v>
      </c>
      <c r="B84" s="5" t="s">
        <v>44</v>
      </c>
      <c r="C84" s="5" t="s">
        <v>73</v>
      </c>
      <c r="D84" s="6" t="s">
        <v>266</v>
      </c>
      <c r="E84" s="6" t="s">
        <v>267</v>
      </c>
      <c r="F84" s="5" t="s">
        <v>138</v>
      </c>
      <c r="G84" s="10" t="str">
        <f t="shared" si="2"/>
        <v>23AAQCM8669N1ZG_MCPL/25-26/41</v>
      </c>
      <c r="H84" s="7">
        <v>45962</v>
      </c>
      <c r="I84" s="8">
        <v>550065</v>
      </c>
      <c r="J84" s="8">
        <v>466156.48</v>
      </c>
      <c r="K84" s="9">
        <v>0</v>
      </c>
      <c r="L84" s="8">
        <v>83909</v>
      </c>
      <c r="M84" s="8">
        <v>0</v>
      </c>
      <c r="N84" s="8">
        <v>0</v>
      </c>
      <c r="O84" s="8">
        <v>0</v>
      </c>
      <c r="P84" t="str">
        <f>VLOOKUP(G84,'GST + Invocie No'!$B$4:$Y$185,24,0)</f>
        <v>Book And 2B Match</v>
      </c>
    </row>
    <row r="85" spans="1:16" x14ac:dyDescent="0.3">
      <c r="A85" s="5" t="s">
        <v>245</v>
      </c>
      <c r="B85" s="5" t="s">
        <v>44</v>
      </c>
      <c r="C85" s="5" t="s">
        <v>73</v>
      </c>
      <c r="D85" s="6" t="s">
        <v>266</v>
      </c>
      <c r="E85" s="6" t="s">
        <v>267</v>
      </c>
      <c r="F85" s="5" t="s">
        <v>147</v>
      </c>
      <c r="G85" s="10" t="str">
        <f t="shared" si="2"/>
        <v>23AAQCM8669N1ZG_MCPL/25-26/49</v>
      </c>
      <c r="H85" s="7">
        <v>45992</v>
      </c>
      <c r="I85" s="8">
        <v>317270</v>
      </c>
      <c r="J85" s="8">
        <v>268872.39</v>
      </c>
      <c r="K85" s="9">
        <v>0</v>
      </c>
      <c r="L85" s="8">
        <v>48398</v>
      </c>
      <c r="M85" s="8">
        <v>0</v>
      </c>
      <c r="N85" s="8">
        <v>0</v>
      </c>
      <c r="O85" s="8">
        <v>0</v>
      </c>
      <c r="P85" t="str">
        <f>VLOOKUP(G85,'GST + Invocie No'!$B$4:$Y$185,24,0)</f>
        <v>Book And 2B Match</v>
      </c>
    </row>
    <row r="86" spans="1:16" x14ac:dyDescent="0.3">
      <c r="A86" s="5" t="s">
        <v>246</v>
      </c>
      <c r="B86" s="5" t="s">
        <v>44</v>
      </c>
      <c r="C86" s="5" t="s">
        <v>73</v>
      </c>
      <c r="D86" s="6" t="s">
        <v>266</v>
      </c>
      <c r="E86" s="6" t="s">
        <v>267</v>
      </c>
      <c r="F86" s="5" t="s">
        <v>160</v>
      </c>
      <c r="G86" s="10" t="str">
        <f t="shared" si="2"/>
        <v>23AAQCM8669N1ZG_MCPL/25-26/55</v>
      </c>
      <c r="H86" s="7">
        <v>46023</v>
      </c>
      <c r="I86" s="8">
        <v>638252</v>
      </c>
      <c r="J86" s="8">
        <v>540890.69999999995</v>
      </c>
      <c r="K86" s="9">
        <v>0</v>
      </c>
      <c r="L86" s="8">
        <v>97361</v>
      </c>
      <c r="M86" s="8">
        <v>0</v>
      </c>
      <c r="N86" s="8">
        <v>0</v>
      </c>
      <c r="O86" s="8">
        <v>0</v>
      </c>
      <c r="P86" t="str">
        <f>VLOOKUP(G86,'GST + Invocie No'!$B$4:$Y$185,24,0)</f>
        <v>Book And 2B Match</v>
      </c>
    </row>
    <row r="87" spans="1:16" x14ac:dyDescent="0.3">
      <c r="A87" s="5" t="s">
        <v>247</v>
      </c>
      <c r="B87" s="5" t="s">
        <v>44</v>
      </c>
      <c r="C87" s="5" t="s">
        <v>73</v>
      </c>
      <c r="D87" s="6" t="s">
        <v>266</v>
      </c>
      <c r="E87" s="6" t="s">
        <v>267</v>
      </c>
      <c r="F87" s="5" t="s">
        <v>169</v>
      </c>
      <c r="G87" s="10" t="str">
        <f t="shared" si="2"/>
        <v>23AAQCM8669N1ZG_MCPL/25-26/63</v>
      </c>
      <c r="H87" s="7">
        <v>46055</v>
      </c>
      <c r="I87" s="8">
        <v>46400</v>
      </c>
      <c r="J87" s="8">
        <v>39322.06</v>
      </c>
      <c r="K87" s="9">
        <v>0</v>
      </c>
      <c r="L87" s="8">
        <v>7078</v>
      </c>
      <c r="M87" s="8">
        <v>0</v>
      </c>
      <c r="N87" s="8">
        <v>0</v>
      </c>
      <c r="O87" s="8">
        <v>0</v>
      </c>
      <c r="P87" t="str">
        <f>VLOOKUP(G87,'GST + Invocie No'!$B$4:$Y$185,24,0)</f>
        <v>Book And 2B Match</v>
      </c>
    </row>
    <row r="88" spans="1:16" x14ac:dyDescent="0.3">
      <c r="A88" s="5" t="s">
        <v>236</v>
      </c>
      <c r="B88" s="5" t="s">
        <v>44</v>
      </c>
      <c r="C88" s="5" t="s">
        <v>73</v>
      </c>
      <c r="D88" s="6" t="s">
        <v>266</v>
      </c>
      <c r="E88" s="6" t="s">
        <v>267</v>
      </c>
      <c r="F88" s="5" t="s">
        <v>175</v>
      </c>
      <c r="G88" s="10" t="str">
        <f t="shared" si="2"/>
        <v>23AAQCM8669N1ZG_MCPL/25-26/69</v>
      </c>
      <c r="H88" s="7">
        <v>46083</v>
      </c>
      <c r="I88" s="8">
        <v>45980</v>
      </c>
      <c r="J88" s="8">
        <v>38965.629999999997</v>
      </c>
      <c r="K88" s="9">
        <v>0</v>
      </c>
      <c r="L88" s="8">
        <v>7014</v>
      </c>
      <c r="M88" s="8">
        <v>0</v>
      </c>
      <c r="N88" s="8">
        <v>0</v>
      </c>
      <c r="O88" s="8">
        <v>0</v>
      </c>
      <c r="P88" t="str">
        <f>VLOOKUP(G88,'GST + Invocie No'!$B$4:$Y$185,24,0)</f>
        <v>Book And 2B Match</v>
      </c>
    </row>
    <row r="89" spans="1:16" x14ac:dyDescent="0.3">
      <c r="A89" s="5" t="s">
        <v>236</v>
      </c>
      <c r="B89" s="5" t="s">
        <v>44</v>
      </c>
      <c r="C89" s="5" t="s">
        <v>73</v>
      </c>
      <c r="D89" s="6" t="s">
        <v>266</v>
      </c>
      <c r="E89" s="6" t="s">
        <v>267</v>
      </c>
      <c r="F89" s="5" t="s">
        <v>185</v>
      </c>
      <c r="G89" s="10" t="str">
        <f t="shared" si="2"/>
        <v>23AAQCM8669N1ZG_MCPL/25-26/73</v>
      </c>
      <c r="H89" s="7">
        <v>46112</v>
      </c>
      <c r="I89" s="8">
        <v>45764</v>
      </c>
      <c r="J89" s="8">
        <v>38782.699999999997</v>
      </c>
      <c r="K89" s="9">
        <v>0</v>
      </c>
      <c r="L89" s="8">
        <v>6981</v>
      </c>
      <c r="M89" s="8">
        <v>0</v>
      </c>
      <c r="N89" s="8">
        <v>0</v>
      </c>
      <c r="O89" s="8">
        <v>0</v>
      </c>
      <c r="P89" t="str">
        <f>VLOOKUP(G89,'GST + Invocie No'!$B$4:$Y$185,24,0)</f>
        <v>Book And 2B Match</v>
      </c>
    </row>
    <row r="90" spans="1:16" x14ac:dyDescent="0.3">
      <c r="A90" s="5" t="s">
        <v>238</v>
      </c>
      <c r="B90" s="5" t="s">
        <v>254</v>
      </c>
      <c r="C90" s="5" t="s">
        <v>79</v>
      </c>
      <c r="D90" s="6" t="s">
        <v>266</v>
      </c>
      <c r="E90" s="6" t="s">
        <v>267</v>
      </c>
      <c r="F90" s="5" t="s">
        <v>192</v>
      </c>
      <c r="G90" s="10" t="str">
        <f t="shared" si="2"/>
        <v>27AADCN9802F1ZG_UCF/DT0425/56863</v>
      </c>
      <c r="H90" s="7">
        <v>45762</v>
      </c>
      <c r="I90" s="8">
        <v>5900</v>
      </c>
      <c r="J90" s="8">
        <v>5000</v>
      </c>
      <c r="K90" s="9">
        <v>0</v>
      </c>
      <c r="L90" s="8">
        <v>0</v>
      </c>
      <c r="M90" s="8">
        <v>450</v>
      </c>
      <c r="N90" s="8">
        <v>450</v>
      </c>
      <c r="O90" s="8">
        <v>0</v>
      </c>
      <c r="P90" t="str">
        <f>VLOOKUP(G90,'GST + Invocie No'!$B$4:$Y$185,24,0)</f>
        <v>Book And 2B Match</v>
      </c>
    </row>
    <row r="91" spans="1:16" x14ac:dyDescent="0.3">
      <c r="A91" s="5" t="s">
        <v>245</v>
      </c>
      <c r="B91" s="5" t="s">
        <v>255</v>
      </c>
      <c r="C91" s="5" t="s">
        <v>74</v>
      </c>
      <c r="D91" s="6" t="s">
        <v>266</v>
      </c>
      <c r="E91" s="6" t="s">
        <v>267</v>
      </c>
      <c r="F91" s="5" t="s">
        <v>144</v>
      </c>
      <c r="G91" s="10" t="str">
        <f t="shared" si="2"/>
        <v>09AACCO0905F2ZR_ONEX25-26/12/142</v>
      </c>
      <c r="H91" s="7">
        <v>45993</v>
      </c>
      <c r="I91" s="8">
        <v>41710175</v>
      </c>
      <c r="J91" s="8">
        <v>35347605.950000003</v>
      </c>
      <c r="K91" s="9">
        <v>0</v>
      </c>
      <c r="L91" s="8">
        <v>6362569.0700000003</v>
      </c>
      <c r="M91" s="8">
        <v>0</v>
      </c>
      <c r="N91" s="8">
        <v>0</v>
      </c>
      <c r="O91" s="8">
        <v>0</v>
      </c>
      <c r="P91" t="str">
        <f>VLOOKUP(G91,'GST + Invocie No'!$B$4:$Y$185,24,0)</f>
        <v>Book And 2B Match</v>
      </c>
    </row>
    <row r="92" spans="1:16" x14ac:dyDescent="0.3">
      <c r="A92" s="5" t="s">
        <v>246</v>
      </c>
      <c r="B92" s="5" t="s">
        <v>255</v>
      </c>
      <c r="C92" s="5" t="s">
        <v>74</v>
      </c>
      <c r="D92" s="6" t="s">
        <v>266</v>
      </c>
      <c r="E92" s="6" t="s">
        <v>267</v>
      </c>
      <c r="F92" s="5" t="s">
        <v>159</v>
      </c>
      <c r="G92" s="10" t="str">
        <f t="shared" si="2"/>
        <v>09AACCO0905F2ZR_ONEX25-26/01/211</v>
      </c>
      <c r="H92" s="7">
        <v>46029</v>
      </c>
      <c r="I92" s="8">
        <v>62690646</v>
      </c>
      <c r="J92" s="8">
        <v>53127666.409999996</v>
      </c>
      <c r="K92" s="9">
        <v>0</v>
      </c>
      <c r="L92" s="8">
        <v>9562979.9600000009</v>
      </c>
      <c r="M92" s="8">
        <v>0</v>
      </c>
      <c r="N92" s="8">
        <v>0</v>
      </c>
      <c r="O92" s="8">
        <v>0</v>
      </c>
      <c r="P92" t="str">
        <f>VLOOKUP(G92,'GST + Invocie No'!$B$4:$Y$185,24,0)</f>
        <v>Book And 2B Match</v>
      </c>
    </row>
    <row r="93" spans="1:16" x14ac:dyDescent="0.3">
      <c r="A93" s="5" t="s">
        <v>247</v>
      </c>
      <c r="B93" s="5" t="s">
        <v>255</v>
      </c>
      <c r="C93" s="5" t="s">
        <v>74</v>
      </c>
      <c r="D93" s="6" t="s">
        <v>266</v>
      </c>
      <c r="E93" s="6" t="s">
        <v>267</v>
      </c>
      <c r="F93" s="5" t="s">
        <v>170</v>
      </c>
      <c r="G93" s="10" t="str">
        <f t="shared" si="2"/>
        <v>09AACCO0905F2ZR_ONEX25-26/02/236</v>
      </c>
      <c r="H93" s="7">
        <v>46070</v>
      </c>
      <c r="I93" s="8">
        <v>47812394</v>
      </c>
      <c r="J93" s="8">
        <v>40518978.049999997</v>
      </c>
      <c r="K93" s="9">
        <v>0</v>
      </c>
      <c r="L93" s="8">
        <v>7293416.0499999998</v>
      </c>
      <c r="M93" s="8">
        <v>0</v>
      </c>
      <c r="N93" s="8">
        <v>0</v>
      </c>
      <c r="O93" s="8">
        <v>0</v>
      </c>
      <c r="P93" t="str">
        <f>VLOOKUP(G93,'GST + Invocie No'!$B$4:$Y$185,24,0)</f>
        <v>Book And 2B Match</v>
      </c>
    </row>
    <row r="94" spans="1:16" x14ac:dyDescent="0.3">
      <c r="A94" s="5" t="s">
        <v>236</v>
      </c>
      <c r="B94" s="5" t="s">
        <v>255</v>
      </c>
      <c r="C94" s="5" t="s">
        <v>74</v>
      </c>
      <c r="D94" s="6" t="s">
        <v>266</v>
      </c>
      <c r="E94" s="6" t="s">
        <v>267</v>
      </c>
      <c r="F94" s="5" t="s">
        <v>177</v>
      </c>
      <c r="G94" s="10" t="str">
        <f t="shared" si="2"/>
        <v>09AACCO0905F2ZR_ONEX25-26/03/246</v>
      </c>
      <c r="H94" s="7">
        <v>46094</v>
      </c>
      <c r="I94" s="8">
        <v>49994484</v>
      </c>
      <c r="J94" s="8">
        <v>42368207.189999998</v>
      </c>
      <c r="K94" s="9">
        <v>0</v>
      </c>
      <c r="L94" s="8">
        <v>7626277.2999999998</v>
      </c>
      <c r="M94" s="8">
        <v>0</v>
      </c>
      <c r="N94" s="8">
        <v>0</v>
      </c>
      <c r="O94" s="8">
        <v>0</v>
      </c>
      <c r="P94" t="str">
        <f>VLOOKUP(G94,'GST + Invocie No'!$B$4:$Y$185,24,0)</f>
        <v>Book And 2B Match</v>
      </c>
    </row>
    <row r="95" spans="1:16" x14ac:dyDescent="0.3">
      <c r="A95" s="5" t="s">
        <v>236</v>
      </c>
      <c r="B95" s="5" t="s">
        <v>255</v>
      </c>
      <c r="C95" s="5" t="s">
        <v>74</v>
      </c>
      <c r="D95" s="6" t="s">
        <v>266</v>
      </c>
      <c r="E95" s="6" t="s">
        <v>267</v>
      </c>
      <c r="F95" s="5" t="s">
        <v>180</v>
      </c>
      <c r="G95" s="10" t="str">
        <f t="shared" si="2"/>
        <v>09AACCO0905F2ZR_ONEX25-26/03/369</v>
      </c>
      <c r="H95" s="7">
        <v>46112</v>
      </c>
      <c r="I95" s="8">
        <v>47203797</v>
      </c>
      <c r="J95" s="8">
        <v>40003217.850000001</v>
      </c>
      <c r="K95" s="9">
        <v>0</v>
      </c>
      <c r="L95" s="8">
        <v>7200579.21</v>
      </c>
      <c r="M95" s="8">
        <v>0</v>
      </c>
      <c r="N95" s="8">
        <v>0</v>
      </c>
      <c r="O95" s="8">
        <v>0</v>
      </c>
      <c r="P95" t="str">
        <f>VLOOKUP(G95,'GST + Invocie No'!$B$4:$Y$185,24,0)</f>
        <v>Book And 2B Match</v>
      </c>
    </row>
    <row r="96" spans="1:16" x14ac:dyDescent="0.3">
      <c r="A96" s="5" t="s">
        <v>238</v>
      </c>
      <c r="B96" s="5" t="s">
        <v>256</v>
      </c>
      <c r="C96" s="5" t="s">
        <v>64</v>
      </c>
      <c r="D96" s="6" t="s">
        <v>266</v>
      </c>
      <c r="E96" s="6" t="s">
        <v>267</v>
      </c>
      <c r="F96" s="5" t="s">
        <v>89</v>
      </c>
      <c r="G96" s="10" t="str">
        <f t="shared" si="2"/>
        <v>08AAECP9085D2Z5_PPSPL/25-26/0011</v>
      </c>
      <c r="H96" s="7">
        <v>45750</v>
      </c>
      <c r="I96" s="8">
        <v>2986598</v>
      </c>
      <c r="J96" s="8">
        <v>2531014.9300000002</v>
      </c>
      <c r="K96" s="9">
        <v>0</v>
      </c>
      <c r="L96" s="8">
        <v>455582.69</v>
      </c>
      <c r="M96" s="8">
        <v>0</v>
      </c>
      <c r="N96" s="8">
        <v>0</v>
      </c>
      <c r="O96" s="8">
        <v>0</v>
      </c>
      <c r="P96" t="str">
        <f>VLOOKUP(G96,'GST + Invocie No'!$B$4:$Y$185,24,0)</f>
        <v>Book And 2B Match</v>
      </c>
    </row>
    <row r="97" spans="1:16" x14ac:dyDescent="0.3">
      <c r="A97" s="5" t="s">
        <v>239</v>
      </c>
      <c r="B97" s="5" t="s">
        <v>256</v>
      </c>
      <c r="C97" s="5" t="s">
        <v>64</v>
      </c>
      <c r="D97" s="6" t="s">
        <v>266</v>
      </c>
      <c r="E97" s="6" t="s">
        <v>267</v>
      </c>
      <c r="F97" s="5" t="s">
        <v>97</v>
      </c>
      <c r="G97" s="10" t="str">
        <f t="shared" si="2"/>
        <v>08AAECP9085D2Z5_PPSPL/25-26/0114</v>
      </c>
      <c r="H97" s="7">
        <v>45783</v>
      </c>
      <c r="I97" s="8">
        <v>3429262</v>
      </c>
      <c r="J97" s="8">
        <v>2906154.11</v>
      </c>
      <c r="K97" s="9">
        <v>0</v>
      </c>
      <c r="L97" s="8">
        <v>523107.74</v>
      </c>
      <c r="M97" s="8">
        <v>0</v>
      </c>
      <c r="N97" s="8">
        <v>0</v>
      </c>
      <c r="O97" s="8">
        <v>0</v>
      </c>
      <c r="P97" t="str">
        <f>VLOOKUP(G97,'GST + Invocie No'!$B$4:$Y$185,24,0)</f>
        <v>Book And 2B Match</v>
      </c>
    </row>
    <row r="98" spans="1:16" x14ac:dyDescent="0.3">
      <c r="A98" s="5" t="s">
        <v>240</v>
      </c>
      <c r="B98" s="5" t="s">
        <v>256</v>
      </c>
      <c r="C98" s="5" t="s">
        <v>64</v>
      </c>
      <c r="D98" s="6" t="s">
        <v>266</v>
      </c>
      <c r="E98" s="6" t="s">
        <v>267</v>
      </c>
      <c r="F98" s="5" t="s">
        <v>105</v>
      </c>
      <c r="G98" s="10" t="str">
        <f t="shared" si="2"/>
        <v>08AAECP9085D2Z5_PPSPL/25-26/0212</v>
      </c>
      <c r="H98" s="7">
        <v>45814</v>
      </c>
      <c r="I98" s="8">
        <v>93050</v>
      </c>
      <c r="J98" s="8">
        <v>78856.03</v>
      </c>
      <c r="K98" s="9">
        <v>0</v>
      </c>
      <c r="L98" s="8">
        <v>14194.09</v>
      </c>
      <c r="M98" s="8">
        <v>0</v>
      </c>
      <c r="N98" s="8">
        <v>0</v>
      </c>
      <c r="O98" s="8">
        <v>0</v>
      </c>
      <c r="P98" t="str">
        <f>VLOOKUP(G98,'GST + Invocie No'!$B$4:$Y$185,24,0)</f>
        <v>Book And 2B Match</v>
      </c>
    </row>
    <row r="99" spans="1:16" x14ac:dyDescent="0.3">
      <c r="A99" s="5" t="s">
        <v>241</v>
      </c>
      <c r="B99" s="5" t="s">
        <v>256</v>
      </c>
      <c r="C99" s="5" t="s">
        <v>64</v>
      </c>
      <c r="D99" s="6" t="s">
        <v>266</v>
      </c>
      <c r="E99" s="6" t="s">
        <v>267</v>
      </c>
      <c r="F99" s="5" t="s">
        <v>112</v>
      </c>
      <c r="G99" s="10" t="str">
        <f t="shared" si="2"/>
        <v>08AAECP9085D2Z5_PPSPL/25-26/0357</v>
      </c>
      <c r="H99" s="7">
        <v>45856</v>
      </c>
      <c r="I99" s="8">
        <v>447618</v>
      </c>
      <c r="J99" s="8">
        <v>379337.12</v>
      </c>
      <c r="K99" s="9">
        <v>0</v>
      </c>
      <c r="L99" s="8">
        <v>68280.679999999993</v>
      </c>
      <c r="M99" s="8">
        <v>0</v>
      </c>
      <c r="N99" s="8">
        <v>0</v>
      </c>
      <c r="O99" s="8">
        <v>0</v>
      </c>
      <c r="P99" t="str">
        <f>VLOOKUP(G99,'GST + Invocie No'!$B$4:$Y$185,24,0)</f>
        <v>Book And 2B Match</v>
      </c>
    </row>
    <row r="100" spans="1:16" x14ac:dyDescent="0.3">
      <c r="A100" s="5" t="s">
        <v>235</v>
      </c>
      <c r="B100" s="5" t="s">
        <v>256</v>
      </c>
      <c r="C100" s="5" t="s">
        <v>64</v>
      </c>
      <c r="D100" s="6" t="s">
        <v>266</v>
      </c>
      <c r="E100" s="6" t="s">
        <v>267</v>
      </c>
      <c r="F100" s="5" t="s">
        <v>120</v>
      </c>
      <c r="G100" s="10" t="str">
        <f t="shared" si="2"/>
        <v>08AAECP9085D2Z5_PPSPL/25-26/0415</v>
      </c>
      <c r="H100" s="7">
        <v>45876</v>
      </c>
      <c r="I100" s="8">
        <v>28051</v>
      </c>
      <c r="J100" s="8">
        <v>23771.759999999998</v>
      </c>
      <c r="K100" s="9">
        <v>0</v>
      </c>
      <c r="L100" s="8">
        <v>4278.92</v>
      </c>
      <c r="M100" s="8">
        <v>0</v>
      </c>
      <c r="N100" s="8">
        <v>0</v>
      </c>
      <c r="O100" s="8">
        <v>0</v>
      </c>
      <c r="P100" t="str">
        <f>VLOOKUP(G100,'GST + Invocie No'!$B$4:$Y$185,24,0)</f>
        <v>Book And 2B Match</v>
      </c>
    </row>
    <row r="101" spans="1:16" x14ac:dyDescent="0.3">
      <c r="A101" s="5" t="s">
        <v>246</v>
      </c>
      <c r="B101" s="5" t="s">
        <v>256</v>
      </c>
      <c r="C101" s="5" t="s">
        <v>64</v>
      </c>
      <c r="D101" s="6" t="s">
        <v>266</v>
      </c>
      <c r="E101" s="6" t="s">
        <v>267</v>
      </c>
      <c r="F101" s="5" t="s">
        <v>162</v>
      </c>
      <c r="G101" s="10" t="str">
        <f t="shared" si="2"/>
        <v>08AAECP9085D2Z5_PPSPL/25-26/0951</v>
      </c>
      <c r="H101" s="7">
        <v>46039</v>
      </c>
      <c r="I101" s="8">
        <v>62926</v>
      </c>
      <c r="J101" s="8">
        <v>53326.8</v>
      </c>
      <c r="K101" s="9">
        <v>0</v>
      </c>
      <c r="L101" s="8">
        <v>9598.82</v>
      </c>
      <c r="M101" s="8">
        <v>0</v>
      </c>
      <c r="N101" s="8">
        <v>0</v>
      </c>
      <c r="O101" s="8">
        <v>0</v>
      </c>
      <c r="P101" t="str">
        <f>VLOOKUP(G101,'GST + Invocie No'!$B$4:$Y$185,24,0)</f>
        <v>Book And 2B Match</v>
      </c>
    </row>
    <row r="102" spans="1:16" x14ac:dyDescent="0.3">
      <c r="A102" s="5" t="s">
        <v>247</v>
      </c>
      <c r="B102" s="5" t="s">
        <v>256</v>
      </c>
      <c r="C102" s="5" t="s">
        <v>64</v>
      </c>
      <c r="D102" s="6" t="s">
        <v>266</v>
      </c>
      <c r="E102" s="6" t="s">
        <v>267</v>
      </c>
      <c r="F102" s="5" t="s">
        <v>167</v>
      </c>
      <c r="G102" s="10" t="str">
        <f t="shared" si="2"/>
        <v>08AAECP9085D2Z5_PPSPL/25-26/1019</v>
      </c>
      <c r="H102" s="7">
        <v>46055</v>
      </c>
      <c r="I102" s="8">
        <v>52410</v>
      </c>
      <c r="J102" s="8">
        <v>44415.44</v>
      </c>
      <c r="K102" s="9">
        <v>0</v>
      </c>
      <c r="L102" s="8">
        <v>7994.78</v>
      </c>
      <c r="M102" s="8">
        <v>0</v>
      </c>
      <c r="N102" s="8">
        <v>0</v>
      </c>
      <c r="O102" s="8">
        <v>0</v>
      </c>
      <c r="P102" t="str">
        <f>VLOOKUP(G102,'GST + Invocie No'!$B$4:$Y$185,24,0)</f>
        <v>Book And 2B Match</v>
      </c>
    </row>
    <row r="103" spans="1:16" x14ac:dyDescent="0.3">
      <c r="A103" s="5" t="s">
        <v>236</v>
      </c>
      <c r="B103" s="5" t="s">
        <v>256</v>
      </c>
      <c r="C103" s="5" t="s">
        <v>64</v>
      </c>
      <c r="D103" s="6" t="s">
        <v>266</v>
      </c>
      <c r="E103" s="6" t="s">
        <v>267</v>
      </c>
      <c r="F103" s="5" t="s">
        <v>174</v>
      </c>
      <c r="G103" s="10" t="str">
        <f t="shared" si="2"/>
        <v>08AAECP9085D2Z5_PPSPL/25-26/1119</v>
      </c>
      <c r="H103" s="7">
        <v>46087</v>
      </c>
      <c r="I103" s="8">
        <v>5300</v>
      </c>
      <c r="J103" s="8">
        <v>4491.6000000000004</v>
      </c>
      <c r="K103" s="9">
        <v>0</v>
      </c>
      <c r="L103" s="8">
        <v>808.49</v>
      </c>
      <c r="M103" s="8">
        <v>0</v>
      </c>
      <c r="N103" s="8">
        <v>0</v>
      </c>
      <c r="O103" s="8">
        <v>0</v>
      </c>
      <c r="P103" t="str">
        <f>VLOOKUP(G103,'GST + Invocie No'!$B$4:$Y$185,24,0)</f>
        <v>Book And 2B Match</v>
      </c>
    </row>
    <row r="104" spans="1:16" x14ac:dyDescent="0.3">
      <c r="A104" s="5" t="s">
        <v>235</v>
      </c>
      <c r="B104" s="5" t="s">
        <v>54</v>
      </c>
      <c r="C104" s="5" t="s">
        <v>83</v>
      </c>
      <c r="D104" s="6" t="s">
        <v>266</v>
      </c>
      <c r="E104" s="6" t="s">
        <v>267</v>
      </c>
      <c r="F104" s="5" t="s">
        <v>279</v>
      </c>
      <c r="G104" s="10" t="str">
        <f t="shared" si="2"/>
        <v>27AAACP4924D1ZO_2025-26-2721</v>
      </c>
      <c r="H104" s="7">
        <v>45883</v>
      </c>
      <c r="I104" s="8">
        <v>9833</v>
      </c>
      <c r="J104" s="8">
        <v>8333</v>
      </c>
      <c r="K104" s="9">
        <v>0</v>
      </c>
      <c r="L104" s="8">
        <v>0</v>
      </c>
      <c r="M104" s="8">
        <v>749.97</v>
      </c>
      <c r="N104" s="8">
        <v>749.97</v>
      </c>
      <c r="O104" s="8">
        <v>0</v>
      </c>
      <c r="P104" t="str">
        <f>VLOOKUP(G104,'GST + Invocie No'!$B$4:$Y$185,24,0)</f>
        <v>Book And 2B Match</v>
      </c>
    </row>
    <row r="105" spans="1:16" x14ac:dyDescent="0.3">
      <c r="A105" s="5" t="s">
        <v>239</v>
      </c>
      <c r="B105" s="5" t="s">
        <v>257</v>
      </c>
      <c r="C105" s="5" t="s">
        <v>70</v>
      </c>
      <c r="D105" s="6" t="s">
        <v>266</v>
      </c>
      <c r="E105" s="6" t="s">
        <v>267</v>
      </c>
      <c r="F105" s="5" t="s">
        <v>98</v>
      </c>
      <c r="G105" s="10" t="str">
        <f t="shared" si="2"/>
        <v>24AALCR1836M1Z1_INV-R000368</v>
      </c>
      <c r="H105" s="7">
        <v>45789</v>
      </c>
      <c r="I105" s="8">
        <v>31352.400000000001</v>
      </c>
      <c r="J105" s="8">
        <v>26570</v>
      </c>
      <c r="K105" s="9">
        <v>0</v>
      </c>
      <c r="L105" s="8">
        <v>4782.6000000000004</v>
      </c>
      <c r="M105" s="8">
        <v>0</v>
      </c>
      <c r="N105" s="8">
        <v>0</v>
      </c>
      <c r="O105" s="8">
        <v>0</v>
      </c>
      <c r="P105" t="str">
        <f>VLOOKUP(G105,'GST + Invocie No'!$B$4:$Y$185,24,0)</f>
        <v>Book And 2B Match</v>
      </c>
    </row>
    <row r="106" spans="1:16" x14ac:dyDescent="0.3">
      <c r="A106" s="5" t="s">
        <v>240</v>
      </c>
      <c r="B106" s="5" t="s">
        <v>257</v>
      </c>
      <c r="C106" s="5" t="s">
        <v>70</v>
      </c>
      <c r="D106" s="6" t="s">
        <v>266</v>
      </c>
      <c r="E106" s="6" t="s">
        <v>267</v>
      </c>
      <c r="F106" s="5" t="s">
        <v>106</v>
      </c>
      <c r="G106" s="10" t="str">
        <f t="shared" si="2"/>
        <v>24AALCR1836M1Z1_INV-R000370</v>
      </c>
      <c r="H106" s="7">
        <v>45827</v>
      </c>
      <c r="I106" s="8">
        <v>19585.64</v>
      </c>
      <c r="J106" s="8">
        <v>16598</v>
      </c>
      <c r="K106" s="9">
        <v>0</v>
      </c>
      <c r="L106" s="8">
        <v>2987.64</v>
      </c>
      <c r="M106" s="8">
        <v>0</v>
      </c>
      <c r="N106" s="8">
        <v>0</v>
      </c>
      <c r="O106" s="8">
        <v>0</v>
      </c>
      <c r="P106" t="str">
        <f>VLOOKUP(G106,'GST + Invocie No'!$B$4:$Y$185,24,0)</f>
        <v>Book And 2B Match</v>
      </c>
    </row>
    <row r="107" spans="1:16" x14ac:dyDescent="0.3">
      <c r="A107" s="5" t="s">
        <v>245</v>
      </c>
      <c r="B107" s="5" t="s">
        <v>257</v>
      </c>
      <c r="C107" s="5" t="s">
        <v>70</v>
      </c>
      <c r="D107" s="6" t="s">
        <v>266</v>
      </c>
      <c r="E107" s="6" t="s">
        <v>267</v>
      </c>
      <c r="F107" s="5" t="s">
        <v>220</v>
      </c>
      <c r="G107" s="10" t="str">
        <f t="shared" si="2"/>
        <v>24AALCR1836M1Z1_INV-R000390</v>
      </c>
      <c r="H107" s="7">
        <v>45978</v>
      </c>
      <c r="I107" s="8">
        <v>69599.66</v>
      </c>
      <c r="J107" s="8">
        <v>58983</v>
      </c>
      <c r="K107" s="9">
        <v>0</v>
      </c>
      <c r="L107" s="8">
        <v>10616.94</v>
      </c>
      <c r="M107" s="8">
        <v>0</v>
      </c>
      <c r="N107" s="8">
        <v>0</v>
      </c>
      <c r="O107" s="8">
        <v>0</v>
      </c>
      <c r="P107" t="str">
        <f>VLOOKUP(G107,'GST + Invocie No'!$B$4:$Y$185,24,0)</f>
        <v>Book And 2B Match</v>
      </c>
    </row>
    <row r="108" spans="1:16" x14ac:dyDescent="0.3">
      <c r="A108" s="5" t="s">
        <v>238</v>
      </c>
      <c r="B108" s="5" t="s">
        <v>258</v>
      </c>
      <c r="C108" s="5" t="s">
        <v>69</v>
      </c>
      <c r="D108" s="6" t="s">
        <v>266</v>
      </c>
      <c r="E108" s="6" t="s">
        <v>267</v>
      </c>
      <c r="F108" s="5" t="s">
        <v>94</v>
      </c>
      <c r="G108" s="10" t="str">
        <f t="shared" si="2"/>
        <v>27AACCR7740M1ZX_RM/04-25/PP0480</v>
      </c>
      <c r="H108" s="7">
        <v>45777</v>
      </c>
      <c r="I108" s="8">
        <v>3833253.14</v>
      </c>
      <c r="J108" s="8">
        <v>3248519.6</v>
      </c>
      <c r="K108" s="9">
        <v>0</v>
      </c>
      <c r="L108" s="8">
        <v>0</v>
      </c>
      <c r="M108" s="8">
        <v>292366.77</v>
      </c>
      <c r="N108" s="8">
        <v>292366.77</v>
      </c>
      <c r="O108" s="8">
        <v>0</v>
      </c>
      <c r="P108" t="str">
        <f>VLOOKUP(G108,'GST + Invocie No'!$B$4:$Y$185,24,0)</f>
        <v>Book And 2B Match</v>
      </c>
    </row>
    <row r="109" spans="1:16" x14ac:dyDescent="0.3">
      <c r="A109" s="5" t="s">
        <v>239</v>
      </c>
      <c r="B109" s="5" t="s">
        <v>258</v>
      </c>
      <c r="C109" s="5" t="s">
        <v>69</v>
      </c>
      <c r="D109" s="6" t="s">
        <v>266</v>
      </c>
      <c r="E109" s="6" t="s">
        <v>267</v>
      </c>
      <c r="F109" s="5" t="s">
        <v>102</v>
      </c>
      <c r="G109" s="10" t="str">
        <f t="shared" si="2"/>
        <v>27AACCR7740M1ZX_RM/05-25/PP0466</v>
      </c>
      <c r="H109" s="7">
        <v>45808</v>
      </c>
      <c r="I109" s="8">
        <v>2468428.39</v>
      </c>
      <c r="J109" s="8">
        <v>2091888.47</v>
      </c>
      <c r="K109" s="9">
        <v>0</v>
      </c>
      <c r="L109" s="8">
        <v>0</v>
      </c>
      <c r="M109" s="8">
        <v>188269.96</v>
      </c>
      <c r="N109" s="8">
        <v>188269.96</v>
      </c>
      <c r="O109" s="8">
        <v>0</v>
      </c>
      <c r="P109" t="str">
        <f>VLOOKUP(G109,'GST + Invocie No'!$B$4:$Y$185,24,0)</f>
        <v>Book And 2B Match</v>
      </c>
    </row>
    <row r="110" spans="1:16" x14ac:dyDescent="0.3">
      <c r="A110" s="5" t="s">
        <v>241</v>
      </c>
      <c r="B110" s="5" t="s">
        <v>258</v>
      </c>
      <c r="C110" s="5" t="s">
        <v>69</v>
      </c>
      <c r="D110" s="6" t="s">
        <v>266</v>
      </c>
      <c r="E110" s="6" t="s">
        <v>267</v>
      </c>
      <c r="F110" s="5" t="s">
        <v>117</v>
      </c>
      <c r="G110" s="10" t="str">
        <f t="shared" si="2"/>
        <v>27AACCR7740M1ZX_RM/07-25/PP0540</v>
      </c>
      <c r="H110" s="7">
        <v>45869</v>
      </c>
      <c r="I110" s="8">
        <v>417.59</v>
      </c>
      <c r="J110" s="8">
        <v>353.89</v>
      </c>
      <c r="K110" s="9">
        <v>0</v>
      </c>
      <c r="L110" s="8">
        <v>0</v>
      </c>
      <c r="M110" s="8">
        <v>31.85</v>
      </c>
      <c r="N110" s="8">
        <v>31.85</v>
      </c>
      <c r="O110" s="8">
        <v>0</v>
      </c>
      <c r="P110" t="str">
        <f>VLOOKUP(G110,'GST + Invocie No'!$B$4:$Y$185,24,0)</f>
        <v>Book And 2B Match</v>
      </c>
    </row>
    <row r="111" spans="1:16" x14ac:dyDescent="0.3">
      <c r="A111" s="5" t="s">
        <v>242</v>
      </c>
      <c r="B111" s="5" t="s">
        <v>258</v>
      </c>
      <c r="C111" s="5" t="s">
        <v>69</v>
      </c>
      <c r="D111" s="6" t="s">
        <v>266</v>
      </c>
      <c r="E111" s="6" t="s">
        <v>267</v>
      </c>
      <c r="F111" s="5" t="s">
        <v>125</v>
      </c>
      <c r="G111" s="10" t="str">
        <f t="shared" si="2"/>
        <v>27AACCR7740M1ZX_RM/08-25/PP0517</v>
      </c>
      <c r="H111" s="7">
        <v>45900</v>
      </c>
      <c r="I111" s="8">
        <v>519.89</v>
      </c>
      <c r="J111" s="8">
        <v>440.59</v>
      </c>
      <c r="K111" s="9">
        <v>0</v>
      </c>
      <c r="L111" s="8">
        <v>0</v>
      </c>
      <c r="M111" s="8">
        <v>39.65</v>
      </c>
      <c r="N111" s="8">
        <v>39.65</v>
      </c>
      <c r="O111" s="8">
        <v>0</v>
      </c>
      <c r="P111" t="str">
        <f>VLOOKUP(G111,'GST + Invocie No'!$B$4:$Y$185,24,0)</f>
        <v>Book And 2B Match</v>
      </c>
    </row>
    <row r="112" spans="1:16" x14ac:dyDescent="0.3">
      <c r="A112" s="5" t="s">
        <v>242</v>
      </c>
      <c r="B112" s="5" t="s">
        <v>258</v>
      </c>
      <c r="C112" s="5" t="s">
        <v>69</v>
      </c>
      <c r="D112" s="6" t="s">
        <v>266</v>
      </c>
      <c r="E112" s="6" t="s">
        <v>267</v>
      </c>
      <c r="F112" s="5" t="s">
        <v>130</v>
      </c>
      <c r="G112" s="10" t="str">
        <f t="shared" si="2"/>
        <v>27AACCR7740M1ZX_RM/09-25/PP0595</v>
      </c>
      <c r="H112" s="7">
        <v>45930</v>
      </c>
      <c r="I112" s="8">
        <v>640.78</v>
      </c>
      <c r="J112" s="8">
        <v>543.04</v>
      </c>
      <c r="K112" s="9">
        <v>0</v>
      </c>
      <c r="L112" s="8">
        <v>0</v>
      </c>
      <c r="M112" s="8">
        <v>48.87</v>
      </c>
      <c r="N112" s="8">
        <v>48.87</v>
      </c>
      <c r="O112" s="8">
        <v>0</v>
      </c>
      <c r="P112" t="str">
        <f>VLOOKUP(G112,'GST + Invocie No'!$B$4:$Y$185,24,0)</f>
        <v>Book And 2B Match</v>
      </c>
    </row>
    <row r="113" spans="1:16" x14ac:dyDescent="0.3">
      <c r="A113" s="5" t="s">
        <v>244</v>
      </c>
      <c r="B113" s="5" t="s">
        <v>258</v>
      </c>
      <c r="C113" s="5" t="s">
        <v>69</v>
      </c>
      <c r="D113" s="6" t="s">
        <v>266</v>
      </c>
      <c r="E113" s="6" t="s">
        <v>267</v>
      </c>
      <c r="F113" s="5" t="s">
        <v>140</v>
      </c>
      <c r="G113" s="10" t="str">
        <f t="shared" si="2"/>
        <v>27AACCR7740M1ZX_RM/11-25/PP0360</v>
      </c>
      <c r="H113" s="7">
        <v>45982</v>
      </c>
      <c r="I113" s="8">
        <v>1062202.25</v>
      </c>
      <c r="J113" s="8">
        <v>900171.39</v>
      </c>
      <c r="K113" s="9">
        <v>0</v>
      </c>
      <c r="L113" s="8">
        <v>0</v>
      </c>
      <c r="M113" s="8">
        <v>81015.429999999993</v>
      </c>
      <c r="N113" s="8">
        <v>81015.429999999993</v>
      </c>
      <c r="O113" s="8">
        <v>0</v>
      </c>
      <c r="P113" t="str">
        <f>VLOOKUP(G113,'GST + Invocie No'!$B$4:$Y$185,24,0)</f>
        <v>Book And 2B Match</v>
      </c>
    </row>
    <row r="114" spans="1:16" x14ac:dyDescent="0.3">
      <c r="A114" s="5" t="s">
        <v>240</v>
      </c>
      <c r="B114" s="5" t="s">
        <v>42</v>
      </c>
      <c r="C114" s="5" t="s">
        <v>71</v>
      </c>
      <c r="D114" s="6" t="s">
        <v>266</v>
      </c>
      <c r="E114" s="6" t="s">
        <v>267</v>
      </c>
      <c r="F114" s="5" t="s">
        <v>107</v>
      </c>
      <c r="G114" s="10" t="str">
        <f t="shared" si="2"/>
        <v>08AAPCS9984F1ZG_SWPLJUN25-26/100</v>
      </c>
      <c r="H114" s="7">
        <v>45838</v>
      </c>
      <c r="I114" s="8">
        <v>10113190</v>
      </c>
      <c r="J114" s="8">
        <v>8570500</v>
      </c>
      <c r="K114" s="9">
        <v>0</v>
      </c>
      <c r="L114" s="8">
        <v>1542690</v>
      </c>
      <c r="M114" s="8">
        <v>0</v>
      </c>
      <c r="N114" s="8">
        <v>0</v>
      </c>
      <c r="O114" s="8">
        <v>0</v>
      </c>
      <c r="P114" t="str">
        <f>VLOOKUP(G114,'GST + Invocie No'!$B$4:$Y$185,24,0)</f>
        <v>Book And 2B Match</v>
      </c>
    </row>
    <row r="115" spans="1:16" x14ac:dyDescent="0.3">
      <c r="A115" s="5" t="s">
        <v>241</v>
      </c>
      <c r="B115" s="5" t="s">
        <v>42</v>
      </c>
      <c r="C115" s="5" t="s">
        <v>71</v>
      </c>
      <c r="D115" s="6" t="s">
        <v>266</v>
      </c>
      <c r="E115" s="6" t="s">
        <v>267</v>
      </c>
      <c r="F115" s="5" t="s">
        <v>118</v>
      </c>
      <c r="G115" s="10" t="str">
        <f t="shared" si="2"/>
        <v>08AAPCS9984F1ZG_SWPLJUL25-26/141</v>
      </c>
      <c r="H115" s="7">
        <v>45869</v>
      </c>
      <c r="I115" s="8">
        <v>19470590</v>
      </c>
      <c r="J115" s="8">
        <v>16500500</v>
      </c>
      <c r="K115" s="9">
        <v>0</v>
      </c>
      <c r="L115" s="8">
        <v>2970090</v>
      </c>
      <c r="M115" s="8">
        <v>0</v>
      </c>
      <c r="N115" s="8">
        <v>0</v>
      </c>
      <c r="O115" s="8">
        <v>0</v>
      </c>
      <c r="P115" t="str">
        <f>VLOOKUP(G115,'GST + Invocie No'!$B$4:$Y$185,24,0)</f>
        <v>Book And 2B Match</v>
      </c>
    </row>
    <row r="116" spans="1:16" x14ac:dyDescent="0.3">
      <c r="A116" s="5" t="s">
        <v>245</v>
      </c>
      <c r="B116" s="5" t="s">
        <v>42</v>
      </c>
      <c r="C116" s="5" t="s">
        <v>71</v>
      </c>
      <c r="D116" s="6" t="s">
        <v>266</v>
      </c>
      <c r="E116" s="6" t="s">
        <v>267</v>
      </c>
      <c r="F116" s="5" t="s">
        <v>152</v>
      </c>
      <c r="G116" s="10" t="str">
        <f t="shared" si="2"/>
        <v>08AAPCS9984F1ZG_SWPLDEC25-26/147</v>
      </c>
      <c r="H116" s="7">
        <v>46022</v>
      </c>
      <c r="I116" s="8">
        <v>17872135</v>
      </c>
      <c r="J116" s="8">
        <v>15145877.199999999</v>
      </c>
      <c r="K116" s="9">
        <v>0</v>
      </c>
      <c r="L116" s="8">
        <v>2726257.9</v>
      </c>
      <c r="M116" s="8">
        <v>0</v>
      </c>
      <c r="N116" s="8">
        <v>0</v>
      </c>
      <c r="O116" s="8">
        <v>0</v>
      </c>
      <c r="P116" t="str">
        <f>VLOOKUP(G116,'GST + Invocie No'!$B$4:$Y$185,24,0)</f>
        <v>Book And 2B Match</v>
      </c>
    </row>
    <row r="117" spans="1:16" x14ac:dyDescent="0.3">
      <c r="A117" s="5" t="s">
        <v>246</v>
      </c>
      <c r="B117" s="5" t="s">
        <v>259</v>
      </c>
      <c r="C117" s="5" t="s">
        <v>260</v>
      </c>
      <c r="D117" s="6" t="s">
        <v>266</v>
      </c>
      <c r="E117" s="6" t="s">
        <v>267</v>
      </c>
      <c r="F117" s="5" t="s">
        <v>280</v>
      </c>
      <c r="G117" s="10" t="str">
        <f t="shared" si="2"/>
        <v>27AAOCS8108A1ZD_SB2526827</v>
      </c>
      <c r="H117" s="7">
        <v>45874</v>
      </c>
      <c r="I117" s="8">
        <v>70800</v>
      </c>
      <c r="J117" s="8">
        <v>60000</v>
      </c>
      <c r="K117" s="9">
        <v>0</v>
      </c>
      <c r="L117" s="8">
        <v>0</v>
      </c>
      <c r="M117" s="8">
        <v>5400</v>
      </c>
      <c r="N117" s="8">
        <v>5400</v>
      </c>
      <c r="O117" s="8">
        <v>0</v>
      </c>
      <c r="P117" t="str">
        <f>VLOOKUP(G117,'GST + Invocie No'!$B$4:$Y$185,24,0)</f>
        <v>Vendor are show in 2B - Tax Invoices and CN</v>
      </c>
    </row>
    <row r="118" spans="1:16" x14ac:dyDescent="0.3">
      <c r="A118" s="5" t="s">
        <v>246</v>
      </c>
      <c r="B118" s="5" t="s">
        <v>259</v>
      </c>
      <c r="C118" s="5" t="s">
        <v>260</v>
      </c>
      <c r="D118" s="6" t="s">
        <v>266</v>
      </c>
      <c r="E118" s="6" t="s">
        <v>267</v>
      </c>
      <c r="F118" s="5" t="s">
        <v>281</v>
      </c>
      <c r="G118" s="10" t="str">
        <f t="shared" si="2"/>
        <v>27AAOCS8108A1ZD_SB2526843</v>
      </c>
      <c r="H118" s="7">
        <v>45904</v>
      </c>
      <c r="I118" s="8">
        <v>17700</v>
      </c>
      <c r="J118" s="8">
        <v>15000</v>
      </c>
      <c r="K118" s="9">
        <v>0</v>
      </c>
      <c r="L118" s="8">
        <v>0</v>
      </c>
      <c r="M118" s="8">
        <v>1350</v>
      </c>
      <c r="N118" s="8">
        <v>1350</v>
      </c>
      <c r="O118" s="8">
        <v>0</v>
      </c>
      <c r="P118" t="str">
        <f>VLOOKUP(G118,'GST + Invocie No'!$B$4:$Y$185,24,0)</f>
        <v>Vendor are show in 2B - Tax Invoices and CN</v>
      </c>
    </row>
    <row r="119" spans="1:16" x14ac:dyDescent="0.3">
      <c r="A119" s="5" t="s">
        <v>246</v>
      </c>
      <c r="B119" s="5" t="s">
        <v>259</v>
      </c>
      <c r="C119" s="5" t="s">
        <v>260</v>
      </c>
      <c r="D119" s="6" t="s">
        <v>266</v>
      </c>
      <c r="E119" s="6" t="s">
        <v>267</v>
      </c>
      <c r="F119" s="5" t="s">
        <v>282</v>
      </c>
      <c r="G119" s="10" t="str">
        <f t="shared" si="2"/>
        <v>27AAOCS8108A1ZD_SB2526862</v>
      </c>
      <c r="H119" s="7">
        <v>45933</v>
      </c>
      <c r="I119" s="8">
        <v>17700</v>
      </c>
      <c r="J119" s="8">
        <v>15000</v>
      </c>
      <c r="K119" s="9">
        <v>0</v>
      </c>
      <c r="L119" s="8">
        <v>0</v>
      </c>
      <c r="M119" s="8">
        <v>1350</v>
      </c>
      <c r="N119" s="8">
        <v>1350</v>
      </c>
      <c r="O119" s="8">
        <v>0</v>
      </c>
      <c r="P119" t="str">
        <f>VLOOKUP(G119,'GST + Invocie No'!$B$4:$Y$185,24,0)</f>
        <v>Vendor are show in 2B - Tax Invoices and CN</v>
      </c>
    </row>
    <row r="120" spans="1:16" x14ac:dyDescent="0.3">
      <c r="A120" s="5" t="s">
        <v>246</v>
      </c>
      <c r="B120" s="5" t="s">
        <v>259</v>
      </c>
      <c r="C120" s="5" t="s">
        <v>260</v>
      </c>
      <c r="D120" s="6" t="s">
        <v>266</v>
      </c>
      <c r="E120" s="6" t="s">
        <v>267</v>
      </c>
      <c r="F120" s="5" t="s">
        <v>283</v>
      </c>
      <c r="G120" s="10" t="str">
        <f t="shared" si="2"/>
        <v>27AAOCS8108A1ZD_SB2526892</v>
      </c>
      <c r="H120" s="7">
        <v>45964</v>
      </c>
      <c r="I120" s="8">
        <v>17700</v>
      </c>
      <c r="J120" s="8">
        <v>15000</v>
      </c>
      <c r="K120" s="9">
        <v>0</v>
      </c>
      <c r="L120" s="8">
        <v>0</v>
      </c>
      <c r="M120" s="8">
        <v>1350</v>
      </c>
      <c r="N120" s="8">
        <v>1350</v>
      </c>
      <c r="O120" s="8">
        <v>0</v>
      </c>
      <c r="P120" t="str">
        <f>VLOOKUP(G120,'GST + Invocie No'!$B$4:$Y$185,24,0)</f>
        <v>Vendor are show in 2B - Tax Invoices and CN</v>
      </c>
    </row>
    <row r="121" spans="1:16" x14ac:dyDescent="0.3">
      <c r="A121" s="5" t="s">
        <v>246</v>
      </c>
      <c r="B121" s="5" t="s">
        <v>259</v>
      </c>
      <c r="C121" s="5" t="s">
        <v>260</v>
      </c>
      <c r="D121" s="6" t="s">
        <v>266</v>
      </c>
      <c r="E121" s="6" t="s">
        <v>267</v>
      </c>
      <c r="F121" s="5" t="s">
        <v>284</v>
      </c>
      <c r="G121" s="10" t="str">
        <f t="shared" si="2"/>
        <v>27AAOCS8108A1ZD_SB2526922</v>
      </c>
      <c r="H121" s="7">
        <v>45994</v>
      </c>
      <c r="I121" s="8">
        <v>17700</v>
      </c>
      <c r="J121" s="8">
        <v>15000</v>
      </c>
      <c r="K121" s="9">
        <v>0</v>
      </c>
      <c r="L121" s="8">
        <v>0</v>
      </c>
      <c r="M121" s="8">
        <v>1350</v>
      </c>
      <c r="N121" s="8">
        <v>1350</v>
      </c>
      <c r="O121" s="8">
        <v>0</v>
      </c>
      <c r="P121" t="str">
        <f>VLOOKUP(G121,'GST + Invocie No'!$B$4:$Y$185,24,0)</f>
        <v>Vendor are show in 2B - Tax Invoices and CN</v>
      </c>
    </row>
    <row r="122" spans="1:16" x14ac:dyDescent="0.3">
      <c r="A122" s="5" t="s">
        <v>238</v>
      </c>
      <c r="B122" s="5" t="s">
        <v>39</v>
      </c>
      <c r="C122" s="5" t="s">
        <v>68</v>
      </c>
      <c r="D122" s="6" t="s">
        <v>266</v>
      </c>
      <c r="E122" s="6" t="s">
        <v>267</v>
      </c>
      <c r="F122" s="5" t="s">
        <v>93</v>
      </c>
      <c r="G122" s="10" t="str">
        <f t="shared" si="2"/>
        <v>27ABDCS7338G1Z4_STPL/25-26/012</v>
      </c>
      <c r="H122" s="7">
        <v>45777</v>
      </c>
      <c r="I122" s="8">
        <v>627589</v>
      </c>
      <c r="J122" s="8">
        <v>531854.78</v>
      </c>
      <c r="K122" s="9">
        <v>0</v>
      </c>
      <c r="L122" s="8">
        <v>0</v>
      </c>
      <c r="M122" s="8">
        <v>47866.93</v>
      </c>
      <c r="N122" s="8">
        <v>47866.93</v>
      </c>
      <c r="O122" s="8">
        <v>0</v>
      </c>
      <c r="P122" t="str">
        <f>VLOOKUP(G122,'GST + Invocie No'!$B$4:$Y$185,24,0)</f>
        <v>Book And 2B Match</v>
      </c>
    </row>
    <row r="123" spans="1:16" x14ac:dyDescent="0.3">
      <c r="A123" s="5" t="s">
        <v>239</v>
      </c>
      <c r="B123" s="5" t="s">
        <v>39</v>
      </c>
      <c r="C123" s="5" t="s">
        <v>68</v>
      </c>
      <c r="D123" s="6" t="s">
        <v>266</v>
      </c>
      <c r="E123" s="6" t="s">
        <v>267</v>
      </c>
      <c r="F123" s="5" t="s">
        <v>100</v>
      </c>
      <c r="G123" s="10" t="str">
        <f t="shared" si="2"/>
        <v>27ABDCS7338G1Z4_STPL/25-26/034</v>
      </c>
      <c r="H123" s="7">
        <v>45808</v>
      </c>
      <c r="I123" s="8">
        <v>176053</v>
      </c>
      <c r="J123" s="8">
        <v>149197.70000000001</v>
      </c>
      <c r="K123" s="9">
        <v>0</v>
      </c>
      <c r="L123" s="8">
        <v>0</v>
      </c>
      <c r="M123" s="8">
        <v>13427.8</v>
      </c>
      <c r="N123" s="8">
        <v>13427.8</v>
      </c>
      <c r="O123" s="8">
        <v>0</v>
      </c>
      <c r="P123" t="str">
        <f>VLOOKUP(G123,'GST + Invocie No'!$B$4:$Y$185,24,0)</f>
        <v>Book And 2B Match</v>
      </c>
    </row>
    <row r="124" spans="1:16" x14ac:dyDescent="0.3">
      <c r="A124" s="5" t="s">
        <v>241</v>
      </c>
      <c r="B124" s="5" t="s">
        <v>39</v>
      </c>
      <c r="C124" s="5" t="s">
        <v>68</v>
      </c>
      <c r="D124" s="6" t="s">
        <v>266</v>
      </c>
      <c r="E124" s="6" t="s">
        <v>267</v>
      </c>
      <c r="F124" s="5" t="s">
        <v>115</v>
      </c>
      <c r="G124" s="10" t="str">
        <f t="shared" si="2"/>
        <v>27ABDCS7338G1Z4_STPL/25-26/093</v>
      </c>
      <c r="H124" s="7">
        <v>45869</v>
      </c>
      <c r="I124" s="8">
        <v>625685.81000000006</v>
      </c>
      <c r="J124" s="8">
        <v>530242.22</v>
      </c>
      <c r="K124" s="9">
        <v>0</v>
      </c>
      <c r="L124" s="8">
        <v>0</v>
      </c>
      <c r="M124" s="8">
        <v>47721.8</v>
      </c>
      <c r="N124" s="8">
        <v>47721.8</v>
      </c>
      <c r="O124" s="8">
        <v>0</v>
      </c>
      <c r="P124" t="str">
        <f>VLOOKUP(G124,'GST + Invocie No'!$B$4:$Y$185,24,0)</f>
        <v>Book And 2B Match</v>
      </c>
    </row>
    <row r="125" spans="1:16" x14ac:dyDescent="0.3">
      <c r="A125" s="5" t="s">
        <v>235</v>
      </c>
      <c r="B125" s="5" t="s">
        <v>39</v>
      </c>
      <c r="C125" s="5" t="s">
        <v>68</v>
      </c>
      <c r="D125" s="6" t="s">
        <v>266</v>
      </c>
      <c r="E125" s="6" t="s">
        <v>267</v>
      </c>
      <c r="F125" s="5" t="s">
        <v>122</v>
      </c>
      <c r="G125" s="10" t="str">
        <f t="shared" si="2"/>
        <v>27ABDCS7338G1Z4_STPL/25-26/126</v>
      </c>
      <c r="H125" s="7">
        <v>45900</v>
      </c>
      <c r="I125" s="8">
        <v>435324.24</v>
      </c>
      <c r="J125" s="8">
        <v>368918.85</v>
      </c>
      <c r="K125" s="9">
        <v>0</v>
      </c>
      <c r="L125" s="8">
        <v>0</v>
      </c>
      <c r="M125" s="8">
        <v>33202.699999999997</v>
      </c>
      <c r="N125" s="8">
        <v>33202.699999999997</v>
      </c>
      <c r="O125" s="8">
        <v>0</v>
      </c>
      <c r="P125" t="str">
        <f>VLOOKUP(G125,'GST + Invocie No'!$B$4:$Y$185,24,0)</f>
        <v>Book And 2B Match</v>
      </c>
    </row>
    <row r="126" spans="1:16" x14ac:dyDescent="0.3">
      <c r="A126" s="5" t="s">
        <v>242</v>
      </c>
      <c r="B126" s="5" t="s">
        <v>39</v>
      </c>
      <c r="C126" s="5" t="s">
        <v>68</v>
      </c>
      <c r="D126" s="6" t="s">
        <v>266</v>
      </c>
      <c r="E126" s="6" t="s">
        <v>267</v>
      </c>
      <c r="F126" s="5" t="s">
        <v>132</v>
      </c>
      <c r="G126" s="10" t="str">
        <f t="shared" si="2"/>
        <v>27ABDCS7338G1Z4_STPL/25-26/153</v>
      </c>
      <c r="H126" s="7">
        <v>45930</v>
      </c>
      <c r="I126" s="8">
        <v>527019.03</v>
      </c>
      <c r="J126" s="8">
        <v>446626.29</v>
      </c>
      <c r="K126" s="9">
        <v>0</v>
      </c>
      <c r="L126" s="8">
        <v>0</v>
      </c>
      <c r="M126" s="8">
        <v>40196.370000000003</v>
      </c>
      <c r="N126" s="8">
        <v>40196.370000000003</v>
      </c>
      <c r="O126" s="8">
        <v>0</v>
      </c>
      <c r="P126" t="str">
        <f>VLOOKUP(G126,'GST + Invocie No'!$B$4:$Y$185,24,0)</f>
        <v>Book And 2B Match</v>
      </c>
    </row>
    <row r="127" spans="1:16" x14ac:dyDescent="0.3">
      <c r="A127" s="5" t="s">
        <v>243</v>
      </c>
      <c r="B127" s="5" t="s">
        <v>39</v>
      </c>
      <c r="C127" s="5" t="s">
        <v>68</v>
      </c>
      <c r="D127" s="6" t="s">
        <v>266</v>
      </c>
      <c r="E127" s="6" t="s">
        <v>267</v>
      </c>
      <c r="F127" s="5" t="s">
        <v>285</v>
      </c>
      <c r="G127" s="10" t="str">
        <f t="shared" si="2"/>
        <v>27ABDCS7338G1Z4_STPL/25-26/179</v>
      </c>
      <c r="H127" s="7">
        <v>45961</v>
      </c>
      <c r="I127" s="8">
        <v>277810</v>
      </c>
      <c r="J127" s="8">
        <v>235431.83</v>
      </c>
      <c r="K127" s="9">
        <v>0</v>
      </c>
      <c r="L127" s="8">
        <v>0</v>
      </c>
      <c r="M127" s="8">
        <v>21188.86</v>
      </c>
      <c r="N127" s="8">
        <v>21188.86</v>
      </c>
      <c r="O127" s="8">
        <v>0</v>
      </c>
      <c r="P127" t="str">
        <f>VLOOKUP(G127,'GST + Invocie No'!$B$4:$Y$185,24,0)</f>
        <v>Book And 2B Match</v>
      </c>
    </row>
    <row r="128" spans="1:16" x14ac:dyDescent="0.3">
      <c r="A128" s="5" t="s">
        <v>244</v>
      </c>
      <c r="B128" s="5" t="s">
        <v>39</v>
      </c>
      <c r="C128" s="5" t="s">
        <v>68</v>
      </c>
      <c r="D128" s="6" t="s">
        <v>266</v>
      </c>
      <c r="E128" s="6" t="s">
        <v>267</v>
      </c>
      <c r="F128" s="5" t="s">
        <v>143</v>
      </c>
      <c r="G128" s="10" t="str">
        <f t="shared" si="2"/>
        <v>27ABDCS7338G1Z4_STPL/25-26/206</v>
      </c>
      <c r="H128" s="7">
        <v>45991</v>
      </c>
      <c r="I128" s="8">
        <v>67299.820000000007</v>
      </c>
      <c r="J128" s="8">
        <v>57033.75</v>
      </c>
      <c r="K128" s="9">
        <v>0</v>
      </c>
      <c r="L128" s="8">
        <v>0</v>
      </c>
      <c r="M128" s="8">
        <v>5133.04</v>
      </c>
      <c r="N128" s="8">
        <v>5133.04</v>
      </c>
      <c r="O128" s="8">
        <v>0</v>
      </c>
      <c r="P128" t="str">
        <f>VLOOKUP(G128,'GST + Invocie No'!$B$4:$Y$185,24,0)</f>
        <v>Book And 2B Match</v>
      </c>
    </row>
    <row r="129" spans="1:16" x14ac:dyDescent="0.3">
      <c r="A129" s="5" t="s">
        <v>245</v>
      </c>
      <c r="B129" s="5" t="s">
        <v>39</v>
      </c>
      <c r="C129" s="5" t="s">
        <v>68</v>
      </c>
      <c r="D129" s="6" t="s">
        <v>266</v>
      </c>
      <c r="E129" s="6" t="s">
        <v>267</v>
      </c>
      <c r="F129" s="5" t="s">
        <v>150</v>
      </c>
      <c r="G129" s="10" t="str">
        <f t="shared" si="2"/>
        <v>27ABDCS7338G1Z4_STPL/25-26/231</v>
      </c>
      <c r="H129" s="7">
        <v>46022</v>
      </c>
      <c r="I129" s="8">
        <v>187226</v>
      </c>
      <c r="J129" s="8">
        <v>158665.76999999999</v>
      </c>
      <c r="K129" s="9">
        <v>0</v>
      </c>
      <c r="L129" s="8">
        <v>0</v>
      </c>
      <c r="M129" s="8">
        <v>14279.92</v>
      </c>
      <c r="N129" s="8">
        <v>14279.92</v>
      </c>
      <c r="O129" s="8">
        <v>0</v>
      </c>
      <c r="P129" t="str">
        <f>VLOOKUP(G129,'GST + Invocie No'!$B$4:$Y$185,24,0)</f>
        <v>Book And 2B Match</v>
      </c>
    </row>
    <row r="130" spans="1:16" x14ac:dyDescent="0.3">
      <c r="A130" s="5" t="s">
        <v>246</v>
      </c>
      <c r="B130" s="5" t="s">
        <v>39</v>
      </c>
      <c r="C130" s="5" t="s">
        <v>68</v>
      </c>
      <c r="D130" s="6" t="s">
        <v>266</v>
      </c>
      <c r="E130" s="6" t="s">
        <v>267</v>
      </c>
      <c r="F130" s="5" t="s">
        <v>164</v>
      </c>
      <c r="G130" s="10" t="str">
        <f t="shared" si="2"/>
        <v>27ABDCS7338G1Z4_STPL/25-26/259</v>
      </c>
      <c r="H130" s="7">
        <v>46053</v>
      </c>
      <c r="I130" s="8">
        <v>38897</v>
      </c>
      <c r="J130" s="8">
        <v>32963.47</v>
      </c>
      <c r="K130" s="9">
        <v>0</v>
      </c>
      <c r="L130" s="8">
        <v>0</v>
      </c>
      <c r="M130" s="8">
        <v>2966.71</v>
      </c>
      <c r="N130" s="8">
        <v>2966.71</v>
      </c>
      <c r="O130" s="8">
        <v>0</v>
      </c>
      <c r="P130" t="str">
        <f>VLOOKUP(G130,'GST + Invocie No'!$B$4:$Y$185,24,0)</f>
        <v>Book And 2B Match</v>
      </c>
    </row>
    <row r="131" spans="1:16" x14ac:dyDescent="0.3">
      <c r="A131" s="5" t="s">
        <v>236</v>
      </c>
      <c r="B131" s="5" t="s">
        <v>39</v>
      </c>
      <c r="C131" s="5" t="s">
        <v>68</v>
      </c>
      <c r="D131" s="6" t="s">
        <v>266</v>
      </c>
      <c r="E131" s="6" t="s">
        <v>267</v>
      </c>
      <c r="F131" s="5" t="s">
        <v>184</v>
      </c>
      <c r="G131" s="10" t="str">
        <f t="shared" si="2"/>
        <v>27ABDCS7338G1Z4_STPL/25-26/337</v>
      </c>
      <c r="H131" s="7">
        <v>46112</v>
      </c>
      <c r="I131" s="8">
        <v>68080</v>
      </c>
      <c r="J131" s="8">
        <v>57695.29</v>
      </c>
      <c r="K131" s="9">
        <v>0</v>
      </c>
      <c r="L131" s="8">
        <v>0</v>
      </c>
      <c r="M131" s="8">
        <v>5192.58</v>
      </c>
      <c r="N131" s="8">
        <v>5192.58</v>
      </c>
      <c r="O131" s="8">
        <v>0</v>
      </c>
      <c r="P131" t="str">
        <f>VLOOKUP(G131,'GST + Invocie No'!$B$4:$Y$185,24,0)</f>
        <v>Book And 2B Match</v>
      </c>
    </row>
    <row r="132" spans="1:16" x14ac:dyDescent="0.3">
      <c r="A132" s="5" t="s">
        <v>236</v>
      </c>
      <c r="B132" s="5" t="s">
        <v>261</v>
      </c>
      <c r="C132" s="5" t="s">
        <v>76</v>
      </c>
      <c r="D132" s="6" t="s">
        <v>266</v>
      </c>
      <c r="E132" s="6" t="s">
        <v>267</v>
      </c>
      <c r="F132" s="5" t="s">
        <v>286</v>
      </c>
      <c r="G132" s="10" t="str">
        <f t="shared" si="2"/>
        <v>09ABHCS5775R1Z6_STMPL/25-26/188</v>
      </c>
      <c r="H132" s="7">
        <v>46099</v>
      </c>
      <c r="I132" s="8">
        <v>3588475</v>
      </c>
      <c r="J132" s="8">
        <v>3041080.71</v>
      </c>
      <c r="K132" s="9">
        <v>0</v>
      </c>
      <c r="L132" s="8">
        <v>547394.53</v>
      </c>
      <c r="M132" s="8">
        <v>0</v>
      </c>
      <c r="N132" s="8">
        <v>0</v>
      </c>
      <c r="O132" s="8">
        <v>0</v>
      </c>
      <c r="P132" t="str">
        <f>VLOOKUP(G132,'GST + Invocie No'!$B$4:$Y$185,24,0)</f>
        <v>Book And 2B Match</v>
      </c>
    </row>
    <row r="133" spans="1:16" x14ac:dyDescent="0.3">
      <c r="A133" s="5" t="s">
        <v>236</v>
      </c>
      <c r="B133" s="5" t="s">
        <v>261</v>
      </c>
      <c r="C133" s="5" t="s">
        <v>76</v>
      </c>
      <c r="D133" s="6" t="s">
        <v>266</v>
      </c>
      <c r="E133" s="6" t="s">
        <v>267</v>
      </c>
      <c r="F133" s="5" t="s">
        <v>287</v>
      </c>
      <c r="G133" s="10" t="str">
        <f t="shared" ref="G133:G164" si="3">CONCATENATE(C133,"_",F133)</f>
        <v>09ABHCS5775R1Z6_STMPL/25-26/189</v>
      </c>
      <c r="H133" s="7">
        <v>46099</v>
      </c>
      <c r="I133" s="8">
        <v>205197</v>
      </c>
      <c r="J133" s="8">
        <v>173895.44</v>
      </c>
      <c r="K133" s="9">
        <v>0</v>
      </c>
      <c r="L133" s="8">
        <v>31301.18</v>
      </c>
      <c r="M133" s="8">
        <v>0</v>
      </c>
      <c r="N133" s="8">
        <v>0</v>
      </c>
      <c r="O133" s="8">
        <v>0</v>
      </c>
      <c r="P133" t="str">
        <f>VLOOKUP(G133,'GST + Invocie No'!$B$4:$Y$185,24,0)</f>
        <v>Book And 2B Match</v>
      </c>
    </row>
    <row r="134" spans="1:16" x14ac:dyDescent="0.3">
      <c r="A134" s="5" t="s">
        <v>236</v>
      </c>
      <c r="B134" s="5" t="s">
        <v>261</v>
      </c>
      <c r="C134" s="5" t="s">
        <v>76</v>
      </c>
      <c r="D134" s="6" t="s">
        <v>266</v>
      </c>
      <c r="E134" s="6" t="s">
        <v>267</v>
      </c>
      <c r="F134" s="5" t="s">
        <v>186</v>
      </c>
      <c r="G134" s="10" t="str">
        <f t="shared" si="3"/>
        <v>09ABHCS5775R1Z6_STMPL/25-26/205</v>
      </c>
      <c r="H134" s="7">
        <v>46112</v>
      </c>
      <c r="I134" s="8">
        <v>77197</v>
      </c>
      <c r="J134" s="8">
        <v>65421.279999999999</v>
      </c>
      <c r="K134" s="9">
        <v>0</v>
      </c>
      <c r="L134" s="8">
        <v>11775.83</v>
      </c>
      <c r="M134" s="8">
        <v>0</v>
      </c>
      <c r="N134" s="8">
        <v>0</v>
      </c>
      <c r="O134" s="8">
        <v>0</v>
      </c>
      <c r="P134" t="str">
        <f>VLOOKUP(G134,'GST + Invocie No'!$B$4:$Y$185,24,0)</f>
        <v>Book And 2B Match</v>
      </c>
    </row>
    <row r="135" spans="1:16" x14ac:dyDescent="0.3">
      <c r="A135" s="5" t="s">
        <v>238</v>
      </c>
      <c r="B135" s="5" t="s">
        <v>38</v>
      </c>
      <c r="C135" s="5" t="s">
        <v>67</v>
      </c>
      <c r="D135" s="6" t="s">
        <v>266</v>
      </c>
      <c r="E135" s="6" t="s">
        <v>267</v>
      </c>
      <c r="F135" s="5" t="s">
        <v>92</v>
      </c>
      <c r="G135" s="10" t="str">
        <f t="shared" si="3"/>
        <v>07AAHCT4293N1ZO_TTSPL20250425</v>
      </c>
      <c r="H135" s="7">
        <v>45777</v>
      </c>
      <c r="I135" s="8">
        <v>22514</v>
      </c>
      <c r="J135" s="8">
        <v>19079.75</v>
      </c>
      <c r="K135" s="9">
        <v>0</v>
      </c>
      <c r="L135" s="8">
        <v>3434.36</v>
      </c>
      <c r="M135" s="8">
        <v>0</v>
      </c>
      <c r="N135" s="8">
        <v>0</v>
      </c>
      <c r="O135" s="8">
        <v>0</v>
      </c>
      <c r="P135" t="str">
        <f>VLOOKUP(G135,'GST + Invocie No'!$B$4:$Y$185,24,0)</f>
        <v>Book And 2B Match</v>
      </c>
    </row>
    <row r="136" spans="1:16" x14ac:dyDescent="0.3">
      <c r="A136" s="5" t="s">
        <v>239</v>
      </c>
      <c r="B136" s="5" t="s">
        <v>38</v>
      </c>
      <c r="C136" s="5" t="s">
        <v>67</v>
      </c>
      <c r="D136" s="6" t="s">
        <v>266</v>
      </c>
      <c r="E136" s="6" t="s">
        <v>267</v>
      </c>
      <c r="F136" s="5" t="s">
        <v>101</v>
      </c>
      <c r="G136" s="10" t="str">
        <f t="shared" si="3"/>
        <v>07AAHCT4293N1ZO_TTSPL20250534</v>
      </c>
      <c r="H136" s="7">
        <v>45808</v>
      </c>
      <c r="I136" s="8">
        <v>29141</v>
      </c>
      <c r="J136" s="8">
        <v>24695.599999999999</v>
      </c>
      <c r="K136" s="9">
        <v>0</v>
      </c>
      <c r="L136" s="8">
        <v>4445.21</v>
      </c>
      <c r="M136" s="8">
        <v>0</v>
      </c>
      <c r="N136" s="8">
        <v>0</v>
      </c>
      <c r="O136" s="8">
        <v>0</v>
      </c>
      <c r="P136" t="str">
        <f>VLOOKUP(G136,'GST + Invocie No'!$B$4:$Y$185,24,0)</f>
        <v>Book And 2B Match</v>
      </c>
    </row>
    <row r="137" spans="1:16" x14ac:dyDescent="0.3">
      <c r="A137" s="5" t="s">
        <v>240</v>
      </c>
      <c r="B137" s="5" t="s">
        <v>38</v>
      </c>
      <c r="C137" s="5" t="s">
        <v>67</v>
      </c>
      <c r="D137" s="6" t="s">
        <v>266</v>
      </c>
      <c r="E137" s="6" t="s">
        <v>267</v>
      </c>
      <c r="F137" s="5" t="s">
        <v>108</v>
      </c>
      <c r="G137" s="10" t="str">
        <f t="shared" si="3"/>
        <v>07AAHCT4293N1ZO_TTSPL20250627</v>
      </c>
      <c r="H137" s="7">
        <v>45838</v>
      </c>
      <c r="I137" s="8">
        <v>32570</v>
      </c>
      <c r="J137" s="8">
        <v>27601.99</v>
      </c>
      <c r="K137" s="9">
        <v>0</v>
      </c>
      <c r="L137" s="8">
        <v>4968.3599999999997</v>
      </c>
      <c r="M137" s="8">
        <v>0</v>
      </c>
      <c r="N137" s="8">
        <v>0</v>
      </c>
      <c r="O137" s="8">
        <v>0</v>
      </c>
      <c r="P137" t="str">
        <f>VLOOKUP(G137,'GST + Invocie No'!$B$4:$Y$185,24,0)</f>
        <v>Book And 2B Match</v>
      </c>
    </row>
    <row r="138" spans="1:16" x14ac:dyDescent="0.3">
      <c r="A138" s="5" t="s">
        <v>241</v>
      </c>
      <c r="B138" s="5" t="s">
        <v>38</v>
      </c>
      <c r="C138" s="5" t="s">
        <v>67</v>
      </c>
      <c r="D138" s="6" t="s">
        <v>266</v>
      </c>
      <c r="E138" s="6" t="s">
        <v>267</v>
      </c>
      <c r="F138" s="5" t="s">
        <v>113</v>
      </c>
      <c r="G138" s="10" t="str">
        <f t="shared" si="3"/>
        <v>07AAHCT4293N1ZO_TTSPL20250725</v>
      </c>
      <c r="H138" s="7">
        <v>45869</v>
      </c>
      <c r="I138" s="8">
        <v>32723</v>
      </c>
      <c r="J138" s="8">
        <v>27731.74</v>
      </c>
      <c r="K138" s="9">
        <v>0</v>
      </c>
      <c r="L138" s="8">
        <v>4991.71</v>
      </c>
      <c r="M138" s="8">
        <v>0</v>
      </c>
      <c r="N138" s="8">
        <v>0</v>
      </c>
      <c r="O138" s="8">
        <v>0</v>
      </c>
      <c r="P138" t="str">
        <f>VLOOKUP(G138,'GST + Invocie No'!$B$4:$Y$185,24,0)</f>
        <v>Book And 2B Match</v>
      </c>
    </row>
    <row r="139" spans="1:16" x14ac:dyDescent="0.3">
      <c r="A139" s="5" t="s">
        <v>235</v>
      </c>
      <c r="B139" s="5" t="s">
        <v>38</v>
      </c>
      <c r="C139" s="5" t="s">
        <v>67</v>
      </c>
      <c r="D139" s="6" t="s">
        <v>266</v>
      </c>
      <c r="E139" s="6" t="s">
        <v>267</v>
      </c>
      <c r="F139" s="5" t="s">
        <v>123</v>
      </c>
      <c r="G139" s="10" t="str">
        <f t="shared" si="3"/>
        <v>07AAHCT4293N1ZO_TTSPL20250822</v>
      </c>
      <c r="H139" s="7">
        <v>45900</v>
      </c>
      <c r="I139" s="8">
        <v>28241.95</v>
      </c>
      <c r="J139" s="8">
        <v>23933.86</v>
      </c>
      <c r="K139" s="9">
        <v>0</v>
      </c>
      <c r="L139" s="8">
        <v>4308.09</v>
      </c>
      <c r="M139" s="8">
        <v>0</v>
      </c>
      <c r="N139" s="8">
        <v>0</v>
      </c>
      <c r="O139" s="8">
        <v>0</v>
      </c>
      <c r="P139" t="str">
        <f>VLOOKUP(G139,'GST + Invocie No'!$B$4:$Y$185,24,0)</f>
        <v>Book And 2B Match</v>
      </c>
    </row>
    <row r="140" spans="1:16" x14ac:dyDescent="0.3">
      <c r="A140" s="5" t="s">
        <v>242</v>
      </c>
      <c r="B140" s="5" t="s">
        <v>38</v>
      </c>
      <c r="C140" s="5" t="s">
        <v>67</v>
      </c>
      <c r="D140" s="6" t="s">
        <v>266</v>
      </c>
      <c r="E140" s="6" t="s">
        <v>267</v>
      </c>
      <c r="F140" s="5" t="s">
        <v>129</v>
      </c>
      <c r="G140" s="10" t="str">
        <f t="shared" si="3"/>
        <v>07AAHCT4293N1ZO_TTSPL20250930</v>
      </c>
      <c r="H140" s="7">
        <v>45930</v>
      </c>
      <c r="I140" s="8">
        <v>26325.55</v>
      </c>
      <c r="J140" s="8">
        <v>22309.79</v>
      </c>
      <c r="K140" s="9">
        <v>0</v>
      </c>
      <c r="L140" s="8">
        <v>4015.76</v>
      </c>
      <c r="M140" s="8">
        <v>0</v>
      </c>
      <c r="N140" s="8">
        <v>0</v>
      </c>
      <c r="O140" s="8">
        <v>0</v>
      </c>
      <c r="P140" t="str">
        <f>VLOOKUP(G140,'GST + Invocie No'!$B$4:$Y$185,24,0)</f>
        <v>Book And 2B Match</v>
      </c>
    </row>
    <row r="141" spans="1:16" x14ac:dyDescent="0.3">
      <c r="A141" s="5" t="s">
        <v>243</v>
      </c>
      <c r="B141" s="5" t="s">
        <v>38</v>
      </c>
      <c r="C141" s="5" t="s">
        <v>67</v>
      </c>
      <c r="D141" s="6" t="s">
        <v>266</v>
      </c>
      <c r="E141" s="6" t="s">
        <v>267</v>
      </c>
      <c r="F141" s="5" t="s">
        <v>136</v>
      </c>
      <c r="G141" s="10" t="str">
        <f t="shared" si="3"/>
        <v>07AAHCT4293N1ZO_TTSPL20251023</v>
      </c>
      <c r="H141" s="7">
        <v>45961</v>
      </c>
      <c r="I141" s="8">
        <v>25085</v>
      </c>
      <c r="J141" s="8">
        <v>21258.400000000001</v>
      </c>
      <c r="K141" s="9">
        <v>0</v>
      </c>
      <c r="L141" s="8">
        <v>3826.51</v>
      </c>
      <c r="M141" s="8">
        <v>0</v>
      </c>
      <c r="N141" s="8">
        <v>0</v>
      </c>
      <c r="O141" s="8">
        <v>0</v>
      </c>
      <c r="P141" t="str">
        <f>VLOOKUP(G141,'GST + Invocie No'!$B$4:$Y$185,24,0)</f>
        <v>Book And 2B Match</v>
      </c>
    </row>
    <row r="142" spans="1:16" x14ac:dyDescent="0.3">
      <c r="A142" s="5" t="s">
        <v>244</v>
      </c>
      <c r="B142" s="5" t="s">
        <v>38</v>
      </c>
      <c r="C142" s="5" t="s">
        <v>67</v>
      </c>
      <c r="D142" s="6" t="s">
        <v>266</v>
      </c>
      <c r="E142" s="6" t="s">
        <v>267</v>
      </c>
      <c r="F142" s="5" t="s">
        <v>142</v>
      </c>
      <c r="G142" s="10" t="str">
        <f t="shared" si="3"/>
        <v>07AAHCT4293N1ZO_TTSPL20251114</v>
      </c>
      <c r="H142" s="7">
        <v>45991</v>
      </c>
      <c r="I142" s="8">
        <v>24172</v>
      </c>
      <c r="J142" s="8">
        <v>20484.759999999998</v>
      </c>
      <c r="K142" s="9">
        <v>0</v>
      </c>
      <c r="L142" s="8">
        <v>3687.26</v>
      </c>
      <c r="M142" s="8">
        <v>0</v>
      </c>
      <c r="N142" s="8">
        <v>0</v>
      </c>
      <c r="O142" s="8">
        <v>0</v>
      </c>
      <c r="P142" t="str">
        <f>VLOOKUP(G142,'GST + Invocie No'!$B$4:$Y$185,24,0)</f>
        <v>Book And 2B Match</v>
      </c>
    </row>
    <row r="143" spans="1:16" x14ac:dyDescent="0.3">
      <c r="A143" s="5" t="s">
        <v>245</v>
      </c>
      <c r="B143" s="5" t="s">
        <v>38</v>
      </c>
      <c r="C143" s="5" t="s">
        <v>67</v>
      </c>
      <c r="D143" s="6" t="s">
        <v>266</v>
      </c>
      <c r="E143" s="6" t="s">
        <v>267</v>
      </c>
      <c r="F143" s="5" t="s">
        <v>151</v>
      </c>
      <c r="G143" s="10" t="str">
        <f t="shared" si="3"/>
        <v>07AAHCT4293N1ZO_TTSPL20251225</v>
      </c>
      <c r="H143" s="7">
        <v>46022</v>
      </c>
      <c r="I143" s="8">
        <v>26612</v>
      </c>
      <c r="J143" s="8">
        <v>22552.34</v>
      </c>
      <c r="K143" s="9">
        <v>0</v>
      </c>
      <c r="L143" s="8">
        <v>4059.42</v>
      </c>
      <c r="M143" s="8">
        <v>0</v>
      </c>
      <c r="N143" s="8">
        <v>0</v>
      </c>
      <c r="O143" s="8">
        <v>0</v>
      </c>
      <c r="P143" t="str">
        <f>VLOOKUP(G143,'GST + Invocie No'!$B$4:$Y$185,24,0)</f>
        <v>Book And 2B Match</v>
      </c>
    </row>
    <row r="144" spans="1:16" x14ac:dyDescent="0.3">
      <c r="A144" s="5" t="s">
        <v>246</v>
      </c>
      <c r="B144" s="5" t="s">
        <v>38</v>
      </c>
      <c r="C144" s="5" t="s">
        <v>67</v>
      </c>
      <c r="D144" s="6" t="s">
        <v>266</v>
      </c>
      <c r="E144" s="6" t="s">
        <v>267</v>
      </c>
      <c r="F144" s="5" t="s">
        <v>163</v>
      </c>
      <c r="G144" s="10" t="str">
        <f t="shared" si="3"/>
        <v>07AAHCT4293N1ZO_TTSPL20260124</v>
      </c>
      <c r="H144" s="7">
        <v>46053</v>
      </c>
      <c r="I144" s="8">
        <v>33783</v>
      </c>
      <c r="J144" s="8">
        <v>28629.43</v>
      </c>
      <c r="K144" s="9">
        <v>0</v>
      </c>
      <c r="L144" s="8">
        <v>5153.3</v>
      </c>
      <c r="M144" s="8">
        <v>0</v>
      </c>
      <c r="N144" s="8">
        <v>0</v>
      </c>
      <c r="O144" s="8">
        <v>0</v>
      </c>
      <c r="P144" t="str">
        <f>VLOOKUP(G144,'GST + Invocie No'!$B$4:$Y$185,24,0)</f>
        <v>Book And 2B Match</v>
      </c>
    </row>
    <row r="145" spans="1:25" x14ac:dyDescent="0.3">
      <c r="A145" s="5" t="s">
        <v>247</v>
      </c>
      <c r="B145" s="5" t="s">
        <v>38</v>
      </c>
      <c r="C145" s="5" t="s">
        <v>67</v>
      </c>
      <c r="D145" s="6" t="s">
        <v>266</v>
      </c>
      <c r="E145" s="6" t="s">
        <v>267</v>
      </c>
      <c r="F145" s="5" t="s">
        <v>171</v>
      </c>
      <c r="G145" s="10" t="str">
        <f t="shared" si="3"/>
        <v>07AAHCT4293N1ZO_TTSPL20260217</v>
      </c>
      <c r="H145" s="7">
        <v>46081</v>
      </c>
      <c r="I145" s="8">
        <v>39046</v>
      </c>
      <c r="J145" s="8">
        <v>33090.19</v>
      </c>
      <c r="K145" s="9">
        <v>0</v>
      </c>
      <c r="L145" s="8">
        <v>5956.23</v>
      </c>
      <c r="M145" s="8">
        <v>0</v>
      </c>
      <c r="N145" s="8">
        <v>0</v>
      </c>
      <c r="O145" s="8">
        <v>0</v>
      </c>
      <c r="P145" t="str">
        <f>VLOOKUP(G145,'GST + Invocie No'!$B$4:$Y$185,24,0)</f>
        <v>Book And 2B Match</v>
      </c>
    </row>
    <row r="146" spans="1:25" x14ac:dyDescent="0.3">
      <c r="A146" s="5" t="s">
        <v>238</v>
      </c>
      <c r="B146" s="5" t="s">
        <v>262</v>
      </c>
      <c r="C146" s="5" t="s">
        <v>63</v>
      </c>
      <c r="D146" s="6" t="s">
        <v>266</v>
      </c>
      <c r="E146" s="6" t="s">
        <v>267</v>
      </c>
      <c r="F146" s="5" t="s">
        <v>288</v>
      </c>
      <c r="G146" s="10" t="str">
        <f t="shared" si="3"/>
        <v>27AAICT8273F1ZY_TW/2025-26/1001</v>
      </c>
      <c r="H146" s="7">
        <v>45748</v>
      </c>
      <c r="I146" s="8">
        <v>135247.92000000001</v>
      </c>
      <c r="J146" s="8">
        <v>114616.88</v>
      </c>
      <c r="K146" s="9">
        <v>0</v>
      </c>
      <c r="L146" s="8">
        <v>0</v>
      </c>
      <c r="M146" s="8">
        <v>10315.52</v>
      </c>
      <c r="N146" s="8">
        <v>10315.52</v>
      </c>
      <c r="O146" s="8">
        <v>0</v>
      </c>
      <c r="P146" t="str">
        <f>VLOOKUP(G146,'GST + Invocie No'!$B$4:$Y$185,24,0)</f>
        <v>Book And 2B Match</v>
      </c>
    </row>
    <row r="147" spans="1:25" x14ac:dyDescent="0.3">
      <c r="A147" s="5" t="s">
        <v>239</v>
      </c>
      <c r="B147" s="5" t="s">
        <v>262</v>
      </c>
      <c r="C147" s="5" t="s">
        <v>63</v>
      </c>
      <c r="D147" s="6" t="s">
        <v>266</v>
      </c>
      <c r="E147" s="6" t="s">
        <v>267</v>
      </c>
      <c r="F147" s="5" t="s">
        <v>289</v>
      </c>
      <c r="G147" s="10" t="str">
        <f t="shared" si="3"/>
        <v>27AAICT8273F1ZY_TW/2025-26/1012</v>
      </c>
      <c r="H147" s="7">
        <v>45778</v>
      </c>
      <c r="I147" s="8">
        <v>1414.75</v>
      </c>
      <c r="J147" s="8">
        <v>1198.94</v>
      </c>
      <c r="K147" s="9">
        <v>0</v>
      </c>
      <c r="L147" s="8">
        <v>0</v>
      </c>
      <c r="M147" s="8">
        <v>107.9</v>
      </c>
      <c r="N147" s="8">
        <v>107.9</v>
      </c>
      <c r="O147" s="8">
        <v>0</v>
      </c>
      <c r="P147" t="str">
        <f>VLOOKUP(G147,'GST + Invocie No'!$B$4:$Y$185,24,0)</f>
        <v>Book And 2B Match</v>
      </c>
    </row>
    <row r="148" spans="1:25" x14ac:dyDescent="0.3">
      <c r="A148" s="5" t="s">
        <v>240</v>
      </c>
      <c r="B148" s="5" t="s">
        <v>262</v>
      </c>
      <c r="C148" s="5" t="s">
        <v>63</v>
      </c>
      <c r="D148" s="6" t="s">
        <v>266</v>
      </c>
      <c r="E148" s="6" t="s">
        <v>267</v>
      </c>
      <c r="F148" s="5" t="s">
        <v>103</v>
      </c>
      <c r="G148" s="10" t="str">
        <f t="shared" si="3"/>
        <v>27AAICT8273F1ZY_TW/2025-26/1027</v>
      </c>
      <c r="H148" s="7">
        <v>45809</v>
      </c>
      <c r="I148" s="8">
        <v>2045.05</v>
      </c>
      <c r="J148" s="8">
        <v>1733.09</v>
      </c>
      <c r="K148" s="9">
        <v>0</v>
      </c>
      <c r="L148" s="8">
        <v>0</v>
      </c>
      <c r="M148" s="8">
        <v>155.97999999999999</v>
      </c>
      <c r="N148" s="8">
        <v>155.97999999999999</v>
      </c>
      <c r="O148" s="8">
        <v>0</v>
      </c>
      <c r="P148" t="str">
        <f>VLOOKUP(G148,'GST + Invocie No'!$B$4:$Y$185,24,0)</f>
        <v>Book And 2B Match</v>
      </c>
    </row>
    <row r="149" spans="1:25" x14ac:dyDescent="0.3">
      <c r="A149" s="5" t="s">
        <v>241</v>
      </c>
      <c r="B149" s="5" t="s">
        <v>262</v>
      </c>
      <c r="C149" s="5" t="s">
        <v>63</v>
      </c>
      <c r="D149" s="6" t="s">
        <v>266</v>
      </c>
      <c r="E149" s="6" t="s">
        <v>267</v>
      </c>
      <c r="F149" s="5" t="s">
        <v>110</v>
      </c>
      <c r="G149" s="10" t="str">
        <f t="shared" si="3"/>
        <v>27AAICT8273F1ZY_TW/2025-26/1045</v>
      </c>
      <c r="H149" s="7">
        <v>45839</v>
      </c>
      <c r="I149" s="8">
        <v>2905.6</v>
      </c>
      <c r="J149" s="8">
        <v>2462.37</v>
      </c>
      <c r="K149" s="9">
        <v>0</v>
      </c>
      <c r="L149" s="8">
        <v>0</v>
      </c>
      <c r="M149" s="8">
        <v>221.61</v>
      </c>
      <c r="N149" s="8">
        <v>221.61</v>
      </c>
      <c r="O149" s="8">
        <v>0</v>
      </c>
      <c r="P149" t="str">
        <f>VLOOKUP(G149,'GST + Invocie No'!$B$4:$Y$185,24,0)</f>
        <v>Book And 2B Match</v>
      </c>
    </row>
    <row r="150" spans="1:25" x14ac:dyDescent="0.3">
      <c r="A150" s="5" t="s">
        <v>242</v>
      </c>
      <c r="B150" s="5" t="s">
        <v>262</v>
      </c>
      <c r="C150" s="5" t="s">
        <v>63</v>
      </c>
      <c r="D150" s="6" t="s">
        <v>266</v>
      </c>
      <c r="E150" s="6" t="s">
        <v>267</v>
      </c>
      <c r="F150" s="5" t="s">
        <v>127</v>
      </c>
      <c r="G150" s="10" t="str">
        <f t="shared" si="3"/>
        <v>27AAICT8273F1ZY_TW/2025-26/1076</v>
      </c>
      <c r="H150" s="7">
        <v>45901</v>
      </c>
      <c r="I150" s="8">
        <v>28.58</v>
      </c>
      <c r="J150" s="8">
        <v>24.22</v>
      </c>
      <c r="K150" s="9">
        <v>0</v>
      </c>
      <c r="L150" s="8">
        <v>0</v>
      </c>
      <c r="M150" s="8">
        <v>2.1800000000000002</v>
      </c>
      <c r="N150" s="8">
        <v>2.1800000000000002</v>
      </c>
      <c r="O150" s="8">
        <v>0</v>
      </c>
      <c r="P150" t="str">
        <f>VLOOKUP(G150,'GST + Invocie No'!$B$4:$Y$185,24,0)</f>
        <v>Book And 2B Match</v>
      </c>
    </row>
    <row r="151" spans="1:25" x14ac:dyDescent="0.3">
      <c r="A151" s="5" t="s">
        <v>243</v>
      </c>
      <c r="B151" s="5" t="s">
        <v>262</v>
      </c>
      <c r="C151" s="5" t="s">
        <v>63</v>
      </c>
      <c r="D151" s="6" t="s">
        <v>266</v>
      </c>
      <c r="E151" s="6" t="s">
        <v>267</v>
      </c>
      <c r="F151" s="5" t="s">
        <v>133</v>
      </c>
      <c r="G151" s="10" t="str">
        <f t="shared" si="3"/>
        <v>27AAICT8273F1ZY_TW/2025-26/1086</v>
      </c>
      <c r="H151" s="7">
        <v>45931</v>
      </c>
      <c r="I151" s="8">
        <v>60.42</v>
      </c>
      <c r="J151" s="8">
        <v>51.2</v>
      </c>
      <c r="K151" s="9">
        <v>0</v>
      </c>
      <c r="L151" s="8">
        <v>0</v>
      </c>
      <c r="M151" s="8">
        <v>4.6100000000000003</v>
      </c>
      <c r="N151" s="8">
        <v>4.6100000000000003</v>
      </c>
      <c r="O151" s="8">
        <v>0</v>
      </c>
      <c r="P151" t="str">
        <f>VLOOKUP(G151,'GST + Invocie No'!$B$4:$Y$185,24,0)</f>
        <v>Book And 2B Match</v>
      </c>
    </row>
    <row r="152" spans="1:25" x14ac:dyDescent="0.3">
      <c r="A152" s="5" t="s">
        <v>239</v>
      </c>
      <c r="B152" s="5" t="s">
        <v>263</v>
      </c>
      <c r="C152" s="5" t="s">
        <v>264</v>
      </c>
      <c r="D152" s="6" t="s">
        <v>266</v>
      </c>
      <c r="E152" s="6" t="s">
        <v>267</v>
      </c>
      <c r="F152" s="5" t="s">
        <v>290</v>
      </c>
      <c r="G152" s="10" t="str">
        <f t="shared" si="3"/>
        <v>27BVDPM7213A1ZZ_2020198</v>
      </c>
      <c r="H152" s="7">
        <v>45721</v>
      </c>
      <c r="I152" s="8">
        <v>368830</v>
      </c>
      <c r="J152" s="8">
        <v>312568</v>
      </c>
      <c r="K152" s="9">
        <v>0</v>
      </c>
      <c r="L152" s="8">
        <v>0</v>
      </c>
      <c r="M152" s="8">
        <v>28131</v>
      </c>
      <c r="N152" s="8">
        <v>28131</v>
      </c>
      <c r="O152" s="8">
        <v>0</v>
      </c>
      <c r="P152" t="str">
        <f>VLOOKUP(G152,'GST + Invocie No'!$B$4:$Y$185,24,0)</f>
        <v xml:space="preserve">Only for the 2B </v>
      </c>
    </row>
    <row r="153" spans="1:25" x14ac:dyDescent="0.3">
      <c r="A153" s="5" t="s">
        <v>240</v>
      </c>
      <c r="B153" s="5" t="s">
        <v>265</v>
      </c>
      <c r="C153" s="5" t="s">
        <v>81</v>
      </c>
      <c r="D153" s="6" t="s">
        <v>266</v>
      </c>
      <c r="E153" s="6" t="s">
        <v>267</v>
      </c>
      <c r="F153" s="5" t="s">
        <v>291</v>
      </c>
      <c r="G153" s="10" t="str">
        <f t="shared" si="3"/>
        <v>27AABPV6272G1ZF_SER/25-26/05/08</v>
      </c>
      <c r="H153" s="7">
        <v>45803</v>
      </c>
      <c r="I153" s="8">
        <v>9558</v>
      </c>
      <c r="J153" s="8">
        <v>8100</v>
      </c>
      <c r="K153" s="9">
        <v>0</v>
      </c>
      <c r="L153" s="8">
        <v>0</v>
      </c>
      <c r="M153" s="8">
        <v>729</v>
      </c>
      <c r="N153" s="8">
        <v>729</v>
      </c>
      <c r="O153" s="8">
        <v>0</v>
      </c>
      <c r="P153" t="str">
        <f>VLOOKUP(G153,'GST + Invocie No'!$B$4:$Y$185,24,0)</f>
        <v>Book And 2B Match-Invocies No Mis-Match</v>
      </c>
    </row>
    <row r="154" spans="1:25" x14ac:dyDescent="0.3">
      <c r="A154" s="5" t="s">
        <v>236</v>
      </c>
      <c r="B154" s="5" t="s">
        <v>248</v>
      </c>
      <c r="C154" s="5" t="s">
        <v>66</v>
      </c>
      <c r="D154" s="6" t="s">
        <v>292</v>
      </c>
      <c r="E154" s="6" t="s">
        <v>267</v>
      </c>
      <c r="F154" s="5" t="s">
        <v>293</v>
      </c>
      <c r="G154" s="10" t="str">
        <f t="shared" si="3"/>
        <v>27AADCD9460D1ZO_79</v>
      </c>
      <c r="H154" s="7">
        <v>46112</v>
      </c>
      <c r="I154" s="8">
        <v>-118000</v>
      </c>
      <c r="J154" s="8">
        <v>-100000</v>
      </c>
      <c r="K154" s="9">
        <v>0</v>
      </c>
      <c r="L154" s="8">
        <v>0</v>
      </c>
      <c r="M154" s="8">
        <v>-9000</v>
      </c>
      <c r="N154" s="8">
        <v>-9000</v>
      </c>
      <c r="O154" s="8">
        <v>0</v>
      </c>
      <c r="P154" t="str">
        <f>VLOOKUP(G154,'GST + Invocie No'!$B$4:$Y$185,24,0)</f>
        <v>Vendor are show in 2B - Tax Invoices and CN</v>
      </c>
      <c r="R154" s="8"/>
      <c r="S154" s="8"/>
      <c r="T154" s="8"/>
      <c r="U154" s="8"/>
      <c r="V154" s="8"/>
      <c r="W154" s="8"/>
      <c r="X154" s="8"/>
      <c r="Y154" s="8"/>
    </row>
    <row r="155" spans="1:25" x14ac:dyDescent="0.3">
      <c r="A155" s="5" t="s">
        <v>239</v>
      </c>
      <c r="B155" s="5" t="s">
        <v>48</v>
      </c>
      <c r="C155" s="5" t="s">
        <v>77</v>
      </c>
      <c r="D155" s="6" t="s">
        <v>292</v>
      </c>
      <c r="E155" s="6" t="s">
        <v>267</v>
      </c>
      <c r="F155" s="5" t="s">
        <v>204</v>
      </c>
      <c r="G155" s="10" t="str">
        <f t="shared" si="3"/>
        <v>06AABCF5150G1ZZ_ADS406-104399344</v>
      </c>
      <c r="H155" s="7">
        <v>45786</v>
      </c>
      <c r="I155" s="8">
        <v>-19.3</v>
      </c>
      <c r="J155" s="8">
        <v>-16.36</v>
      </c>
      <c r="K155" s="9">
        <v>0</v>
      </c>
      <c r="L155" s="8">
        <v>-2.94</v>
      </c>
      <c r="M155" s="8">
        <v>0</v>
      </c>
      <c r="N155" s="8">
        <v>0</v>
      </c>
      <c r="O155" s="8">
        <v>0</v>
      </c>
      <c r="P155" t="str">
        <f>VLOOKUP(G155,'GST + Invocie No'!$B$4:$Y$185,24,0)</f>
        <v>Book And 2B Match</v>
      </c>
      <c r="R155" s="8"/>
      <c r="S155" s="8"/>
      <c r="T155" s="8"/>
      <c r="U155" s="8"/>
      <c r="V155" s="8"/>
      <c r="W155" s="8"/>
      <c r="X155" s="8"/>
      <c r="Y155" s="8"/>
    </row>
    <row r="156" spans="1:25" x14ac:dyDescent="0.3">
      <c r="A156" s="5" t="s">
        <v>240</v>
      </c>
      <c r="B156" s="5" t="s">
        <v>48</v>
      </c>
      <c r="C156" s="5" t="s">
        <v>77</v>
      </c>
      <c r="D156" s="6" t="s">
        <v>292</v>
      </c>
      <c r="E156" s="6" t="s">
        <v>267</v>
      </c>
      <c r="F156" s="5" t="s">
        <v>233</v>
      </c>
      <c r="G156" s="10" t="str">
        <f t="shared" si="3"/>
        <v>06AABCF5150G1ZZ_ADS406-104513598</v>
      </c>
      <c r="H156" s="7">
        <v>45821</v>
      </c>
      <c r="I156" s="8">
        <v>-0.47</v>
      </c>
      <c r="J156" s="8">
        <v>-0.4</v>
      </c>
      <c r="K156" s="9">
        <v>0</v>
      </c>
      <c r="L156" s="8">
        <v>-7.0000000000000007E-2</v>
      </c>
      <c r="M156" s="8">
        <v>0</v>
      </c>
      <c r="N156" s="8">
        <v>0</v>
      </c>
      <c r="O156" s="8">
        <v>0</v>
      </c>
      <c r="P156" t="str">
        <f>VLOOKUP(G156,'GST + Invocie No'!$B$4:$Y$185,24,0)</f>
        <v>Book And 2B Match</v>
      </c>
      <c r="R156" s="8"/>
      <c r="S156" s="8"/>
      <c r="T156" s="8"/>
      <c r="U156" s="8"/>
      <c r="V156" s="8"/>
      <c r="W156" s="8"/>
      <c r="X156" s="8"/>
      <c r="Y156" s="8"/>
    </row>
    <row r="157" spans="1:25" x14ac:dyDescent="0.3">
      <c r="A157" s="5" t="s">
        <v>240</v>
      </c>
      <c r="B157" s="5" t="s">
        <v>251</v>
      </c>
      <c r="C157" s="5" t="s">
        <v>80</v>
      </c>
      <c r="D157" s="6" t="s">
        <v>292</v>
      </c>
      <c r="E157" s="6" t="s">
        <v>267</v>
      </c>
      <c r="F157" s="5" t="s">
        <v>294</v>
      </c>
      <c r="G157" s="10" t="str">
        <f t="shared" si="3"/>
        <v>27AAWFM3818Q1Z9_MCO2526842</v>
      </c>
      <c r="H157" s="7">
        <v>45833</v>
      </c>
      <c r="I157" s="8">
        <v>-36875</v>
      </c>
      <c r="J157" s="8">
        <v>-31250</v>
      </c>
      <c r="K157" s="9">
        <v>0</v>
      </c>
      <c r="L157" s="8">
        <v>0</v>
      </c>
      <c r="M157" s="8">
        <v>-2812.5</v>
      </c>
      <c r="N157" s="8">
        <v>-2812.5</v>
      </c>
      <c r="O157" s="8">
        <v>0</v>
      </c>
      <c r="P157" t="str">
        <f>VLOOKUP(G157,'GST + Invocie No'!$B$4:$Y$185,24,0)</f>
        <v>Book And 2B Match-Invocies No Mis-Match</v>
      </c>
      <c r="R157" s="8"/>
      <c r="S157" s="8"/>
      <c r="T157" s="8"/>
      <c r="U157" s="8"/>
      <c r="V157" s="8"/>
      <c r="W157" s="8"/>
      <c r="X157" s="8"/>
      <c r="Y157" s="8"/>
    </row>
    <row r="158" spans="1:25" x14ac:dyDescent="0.3">
      <c r="A158" s="5" t="s">
        <v>247</v>
      </c>
      <c r="B158" s="5" t="s">
        <v>252</v>
      </c>
      <c r="C158" s="5" t="s">
        <v>253</v>
      </c>
      <c r="D158" s="6" t="s">
        <v>292</v>
      </c>
      <c r="E158" s="6" t="s">
        <v>267</v>
      </c>
      <c r="F158" s="5" t="s">
        <v>295</v>
      </c>
      <c r="G158" s="10" t="str">
        <f t="shared" si="3"/>
        <v>07AAWFM3818Q1ZB_MCO-D252650</v>
      </c>
      <c r="H158" s="7">
        <v>46072</v>
      </c>
      <c r="I158" s="8">
        <v>-295000</v>
      </c>
      <c r="J158" s="8">
        <v>-250000</v>
      </c>
      <c r="K158" s="9">
        <v>0</v>
      </c>
      <c r="L158" s="8">
        <v>-45000</v>
      </c>
      <c r="M158" s="8">
        <v>0</v>
      </c>
      <c r="N158" s="8">
        <v>0</v>
      </c>
      <c r="O158" s="8">
        <v>0</v>
      </c>
      <c r="P158" t="str">
        <f>VLOOKUP(G158,'GST + Invocie No'!$B$4:$Y$185,24,0)</f>
        <v>Vendor are show in 2B - Tax Invoices and CN</v>
      </c>
      <c r="R158" s="8"/>
      <c r="S158" s="8"/>
      <c r="T158" s="8"/>
      <c r="U158" s="8"/>
      <c r="V158" s="8"/>
      <c r="W158" s="8"/>
      <c r="X158" s="8"/>
      <c r="Y158" s="8"/>
    </row>
    <row r="159" spans="1:25" x14ac:dyDescent="0.3">
      <c r="A159" s="5" t="s">
        <v>245</v>
      </c>
      <c r="B159" s="5" t="s">
        <v>44</v>
      </c>
      <c r="C159" s="5" t="s">
        <v>73</v>
      </c>
      <c r="D159" s="6" t="s">
        <v>292</v>
      </c>
      <c r="E159" s="6" t="s">
        <v>267</v>
      </c>
      <c r="F159" s="5" t="s">
        <v>296</v>
      </c>
      <c r="G159" s="10" t="str">
        <f t="shared" si="3"/>
        <v>23AAQCM8669N1ZG_MCPL/CN/25-26/1</v>
      </c>
      <c r="H159" s="7">
        <v>46006</v>
      </c>
      <c r="I159" s="8">
        <v>-688328</v>
      </c>
      <c r="J159" s="8">
        <v>-583328.28</v>
      </c>
      <c r="K159" s="9">
        <v>0</v>
      </c>
      <c r="L159" s="8">
        <v>-105000</v>
      </c>
      <c r="M159" s="8">
        <v>0</v>
      </c>
      <c r="N159" s="8">
        <v>0</v>
      </c>
      <c r="O159" s="8">
        <v>0</v>
      </c>
      <c r="P159" t="str">
        <f>VLOOKUP(G159,'GST + Invocie No'!$B$4:$Y$185,24,0)</f>
        <v>Vendor are show in 2B - Tax Invoices and CN</v>
      </c>
      <c r="R159" s="8"/>
      <c r="S159" s="8"/>
      <c r="T159" s="8"/>
      <c r="U159" s="8"/>
      <c r="V159" s="8"/>
      <c r="W159" s="8"/>
      <c r="X159" s="8"/>
      <c r="Y159" s="8"/>
    </row>
    <row r="160" spans="1:25" x14ac:dyDescent="0.3">
      <c r="A160" s="5" t="s">
        <v>246</v>
      </c>
      <c r="B160" s="5" t="s">
        <v>259</v>
      </c>
      <c r="C160" s="5" t="s">
        <v>260</v>
      </c>
      <c r="D160" s="6" t="s">
        <v>292</v>
      </c>
      <c r="E160" s="6" t="s">
        <v>267</v>
      </c>
      <c r="F160" s="5" t="s">
        <v>297</v>
      </c>
      <c r="G160" s="10" t="str">
        <f t="shared" si="3"/>
        <v>27AAOCS8108A1ZD_SB2526967</v>
      </c>
      <c r="H160" s="7">
        <v>46052</v>
      </c>
      <c r="I160" s="8">
        <v>-70800</v>
      </c>
      <c r="J160" s="8">
        <v>-60000</v>
      </c>
      <c r="K160" s="9">
        <v>0</v>
      </c>
      <c r="L160" s="8">
        <v>0</v>
      </c>
      <c r="M160" s="8">
        <v>-5400</v>
      </c>
      <c r="N160" s="8">
        <v>-5400</v>
      </c>
      <c r="O160" s="8">
        <v>0</v>
      </c>
      <c r="P160" t="str">
        <f>VLOOKUP(G160,'GST + Invocie No'!$B$4:$Y$185,24,0)</f>
        <v>Vendor are show in 2B - Tax Invoices and CN</v>
      </c>
      <c r="R160" s="8"/>
      <c r="S160" s="8"/>
      <c r="T160" s="8"/>
      <c r="U160" s="8"/>
      <c r="V160" s="8"/>
      <c r="W160" s="8"/>
      <c r="X160" s="8"/>
      <c r="Y160" s="8"/>
    </row>
    <row r="161" spans="1:25" x14ac:dyDescent="0.3">
      <c r="A161" s="5" t="s">
        <v>246</v>
      </c>
      <c r="B161" s="5" t="s">
        <v>259</v>
      </c>
      <c r="C161" s="5" t="s">
        <v>260</v>
      </c>
      <c r="D161" s="6" t="s">
        <v>292</v>
      </c>
      <c r="E161" s="6" t="s">
        <v>267</v>
      </c>
      <c r="F161" s="5" t="s">
        <v>298</v>
      </c>
      <c r="G161" s="10" t="str">
        <f t="shared" si="3"/>
        <v>27AAOCS8108A1ZD_SB2526968</v>
      </c>
      <c r="H161" s="7">
        <v>46052</v>
      </c>
      <c r="I161" s="8">
        <v>-17700</v>
      </c>
      <c r="J161" s="8">
        <v>-15000</v>
      </c>
      <c r="K161" s="9">
        <v>0</v>
      </c>
      <c r="L161" s="8">
        <v>0</v>
      </c>
      <c r="M161" s="8">
        <v>-1350</v>
      </c>
      <c r="N161" s="8">
        <v>-1350</v>
      </c>
      <c r="O161" s="8">
        <v>0</v>
      </c>
      <c r="P161" t="str">
        <f>VLOOKUP(G161,'GST + Invocie No'!$B$4:$Y$185,24,0)</f>
        <v>Vendor are show in 2B - Tax Invoices and CN</v>
      </c>
      <c r="R161" s="8"/>
      <c r="S161" s="8"/>
      <c r="T161" s="8"/>
      <c r="U161" s="8"/>
      <c r="V161" s="8"/>
      <c r="W161" s="8"/>
      <c r="X161" s="8"/>
      <c r="Y161" s="8"/>
    </row>
    <row r="162" spans="1:25" x14ac:dyDescent="0.3">
      <c r="A162" s="5" t="s">
        <v>246</v>
      </c>
      <c r="B162" s="5" t="s">
        <v>259</v>
      </c>
      <c r="C162" s="5" t="s">
        <v>260</v>
      </c>
      <c r="D162" s="6" t="s">
        <v>292</v>
      </c>
      <c r="E162" s="6" t="s">
        <v>267</v>
      </c>
      <c r="F162" s="5" t="s">
        <v>299</v>
      </c>
      <c r="G162" s="10" t="str">
        <f t="shared" si="3"/>
        <v>27AAOCS8108A1ZD_SB2526969</v>
      </c>
      <c r="H162" s="7">
        <v>46052</v>
      </c>
      <c r="I162" s="8">
        <v>-17700</v>
      </c>
      <c r="J162" s="8">
        <v>-15000</v>
      </c>
      <c r="K162" s="9">
        <v>0</v>
      </c>
      <c r="L162" s="8">
        <v>0</v>
      </c>
      <c r="M162" s="8">
        <v>-1350</v>
      </c>
      <c r="N162" s="8">
        <v>-1350</v>
      </c>
      <c r="O162" s="8">
        <v>0</v>
      </c>
      <c r="P162" t="str">
        <f>VLOOKUP(G162,'GST + Invocie No'!$B$4:$Y$185,24,0)</f>
        <v>Vendor are show in 2B - Tax Invoices and CN</v>
      </c>
      <c r="R162" s="8"/>
      <c r="S162" s="8"/>
      <c r="T162" s="8"/>
      <c r="U162" s="8"/>
      <c r="V162" s="8"/>
      <c r="W162" s="8"/>
      <c r="X162" s="8"/>
      <c r="Y162" s="8"/>
    </row>
    <row r="163" spans="1:25" x14ac:dyDescent="0.3">
      <c r="A163" s="5" t="s">
        <v>246</v>
      </c>
      <c r="B163" s="5" t="s">
        <v>259</v>
      </c>
      <c r="C163" s="5" t="s">
        <v>260</v>
      </c>
      <c r="D163" s="6" t="s">
        <v>292</v>
      </c>
      <c r="E163" s="6" t="s">
        <v>267</v>
      </c>
      <c r="F163" s="5" t="s">
        <v>300</v>
      </c>
      <c r="G163" s="10" t="str">
        <f t="shared" si="3"/>
        <v>27AAOCS8108A1ZD_SB2526970</v>
      </c>
      <c r="H163" s="7">
        <v>46052</v>
      </c>
      <c r="I163" s="8">
        <v>-17700</v>
      </c>
      <c r="J163" s="8">
        <v>-15000</v>
      </c>
      <c r="K163" s="9">
        <v>0</v>
      </c>
      <c r="L163" s="8">
        <v>0</v>
      </c>
      <c r="M163" s="8">
        <v>-1350</v>
      </c>
      <c r="N163" s="8">
        <v>-1350</v>
      </c>
      <c r="O163" s="8">
        <v>0</v>
      </c>
      <c r="P163" t="str">
        <f>VLOOKUP(G163,'GST + Invocie No'!$B$4:$Y$185,24,0)</f>
        <v>Vendor are show in 2B - Tax Invoices and CN</v>
      </c>
      <c r="R163" s="8"/>
      <c r="S163" s="8"/>
      <c r="T163" s="8"/>
      <c r="U163" s="8"/>
      <c r="V163" s="8"/>
      <c r="W163" s="8"/>
      <c r="X163" s="8"/>
      <c r="Y163" s="8"/>
    </row>
    <row r="164" spans="1:25" x14ac:dyDescent="0.3">
      <c r="A164" s="5" t="s">
        <v>246</v>
      </c>
      <c r="B164" s="5" t="s">
        <v>259</v>
      </c>
      <c r="C164" s="5" t="s">
        <v>260</v>
      </c>
      <c r="D164" s="6" t="s">
        <v>292</v>
      </c>
      <c r="E164" s="6" t="s">
        <v>267</v>
      </c>
      <c r="F164" s="5" t="s">
        <v>301</v>
      </c>
      <c r="G164" s="10" t="str">
        <f t="shared" si="3"/>
        <v>27AAOCS8108A1ZD_SB2526971</v>
      </c>
      <c r="H164" s="7">
        <v>46052</v>
      </c>
      <c r="I164" s="8">
        <v>-17700</v>
      </c>
      <c r="J164" s="8">
        <v>-15000</v>
      </c>
      <c r="K164" s="9">
        <v>0</v>
      </c>
      <c r="L164" s="8">
        <v>0</v>
      </c>
      <c r="M164" s="8">
        <v>-1350</v>
      </c>
      <c r="N164" s="8">
        <v>-1350</v>
      </c>
      <c r="O164" s="8">
        <v>0</v>
      </c>
      <c r="P164" t="str">
        <f>VLOOKUP(G164,'GST + Invocie No'!$B$4:$Y$185,24,0)</f>
        <v>Vendor are show in 2B - Tax Invoices and CN</v>
      </c>
      <c r="R164" s="8"/>
      <c r="S164" s="8"/>
      <c r="T164" s="8"/>
      <c r="U164" s="8"/>
      <c r="V164" s="8"/>
      <c r="W164" s="8"/>
      <c r="X164" s="8"/>
      <c r="Y164" s="8"/>
    </row>
    <row r="165" spans="1:25" x14ac:dyDescent="0.3">
      <c r="A165" s="5"/>
      <c r="B165" s="5"/>
      <c r="C165" s="5"/>
      <c r="D165" s="6"/>
      <c r="E165" s="6"/>
      <c r="F165" s="5"/>
      <c r="G165" s="10"/>
      <c r="H165" s="7"/>
      <c r="I165" s="8"/>
      <c r="J165" s="8"/>
      <c r="K165" s="9"/>
      <c r="L165" s="8"/>
      <c r="M165" s="8"/>
      <c r="N165" s="8"/>
      <c r="O165" s="8"/>
    </row>
    <row r="166" spans="1:25" x14ac:dyDescent="0.3">
      <c r="A166" s="5"/>
      <c r="B166" s="5"/>
      <c r="C166" s="5"/>
      <c r="D166" s="6"/>
      <c r="E166" s="6"/>
      <c r="F166" s="5"/>
      <c r="G166" s="10"/>
      <c r="H166" s="7"/>
      <c r="I166" s="8"/>
      <c r="J166" s="8"/>
      <c r="K166" s="9"/>
      <c r="L166" s="8"/>
      <c r="M166" s="8"/>
      <c r="N166" s="8"/>
      <c r="O166" s="8"/>
    </row>
    <row r="167" spans="1:25" x14ac:dyDescent="0.3">
      <c r="A167" s="5"/>
      <c r="B167" s="5"/>
      <c r="C167" s="5"/>
      <c r="D167" s="6"/>
      <c r="E167" s="6"/>
      <c r="F167" s="5"/>
      <c r="G167" s="10"/>
      <c r="H167" s="7"/>
      <c r="I167" s="8"/>
      <c r="J167" s="8"/>
      <c r="K167" s="9"/>
      <c r="L167" s="32">
        <f>SUM(L4:L166)</f>
        <v>47679159.539999999</v>
      </c>
      <c r="M167" s="32">
        <f t="shared" ref="M167:O167" si="4">SUM(M4:M166)</f>
        <v>3567766.96</v>
      </c>
      <c r="N167" s="32">
        <f t="shared" si="4"/>
        <v>3567766.96</v>
      </c>
      <c r="O167" s="32">
        <f t="shared" si="4"/>
        <v>0</v>
      </c>
    </row>
    <row r="168" spans="1:25" x14ac:dyDescent="0.3">
      <c r="A168" s="5"/>
      <c r="B168" s="5"/>
      <c r="C168" s="5"/>
      <c r="D168" s="6"/>
      <c r="E168" s="6"/>
      <c r="F168" s="5"/>
      <c r="G168" s="10"/>
      <c r="H168" s="7"/>
      <c r="I168" s="8"/>
      <c r="J168" s="8"/>
      <c r="K168" s="9"/>
      <c r="L168" s="8"/>
      <c r="M168" s="8"/>
      <c r="N168" s="8"/>
      <c r="O168" s="8"/>
    </row>
    <row r="169" spans="1:25" x14ac:dyDescent="0.3">
      <c r="A169" s="5"/>
      <c r="B169" s="5"/>
      <c r="C169" s="5"/>
      <c r="D169" s="6"/>
      <c r="E169" s="6"/>
      <c r="F169" s="5"/>
      <c r="G169" s="10"/>
      <c r="H169" s="7"/>
      <c r="I169" s="8"/>
      <c r="J169" s="8"/>
      <c r="K169" s="9"/>
      <c r="L169" s="8">
        <v>47679159.539999992</v>
      </c>
      <c r="M169" s="8">
        <v>3567766.9600000004</v>
      </c>
      <c r="N169" s="8">
        <v>3567766.9600000004</v>
      </c>
      <c r="O169" s="8"/>
    </row>
    <row r="170" spans="1:25" x14ac:dyDescent="0.3">
      <c r="A170" s="5"/>
      <c r="B170" s="5"/>
      <c r="C170" s="5"/>
      <c r="D170" s="6"/>
      <c r="E170" s="6"/>
      <c r="F170" s="5"/>
      <c r="G170" s="10"/>
      <c r="H170" s="7"/>
      <c r="I170" s="8"/>
      <c r="J170" s="8"/>
      <c r="K170" s="9"/>
      <c r="L170" s="8"/>
      <c r="M170" s="8"/>
      <c r="N170" s="8"/>
      <c r="O170" s="8"/>
    </row>
    <row r="171" spans="1:25" x14ac:dyDescent="0.3">
      <c r="A171" s="5"/>
      <c r="B171" s="5"/>
      <c r="C171" s="5"/>
      <c r="D171" s="6"/>
      <c r="E171" s="6"/>
      <c r="F171" s="5"/>
      <c r="G171" s="10"/>
      <c r="H171" s="7"/>
      <c r="I171" s="8"/>
      <c r="J171" s="8"/>
      <c r="K171" s="9"/>
      <c r="L171" s="8">
        <f>+L167-L169</f>
        <v>0</v>
      </c>
      <c r="M171" s="8">
        <f t="shared" ref="M171:N171" si="5">+M167-M169</f>
        <v>0</v>
      </c>
      <c r="N171" s="8">
        <f t="shared" si="5"/>
        <v>0</v>
      </c>
      <c r="O171" s="8"/>
    </row>
    <row r="172" spans="1:25" x14ac:dyDescent="0.3">
      <c r="A172" s="5"/>
      <c r="B172" s="5"/>
      <c r="C172" s="5"/>
      <c r="D172" s="6"/>
      <c r="E172" s="6"/>
      <c r="F172" s="5"/>
      <c r="G172" s="10"/>
      <c r="H172" s="7"/>
      <c r="I172" s="8"/>
      <c r="J172" s="8"/>
      <c r="K172" s="9"/>
      <c r="L172" s="8"/>
      <c r="M172" s="8"/>
      <c r="N172" s="8"/>
      <c r="O172" s="8"/>
    </row>
    <row r="173" spans="1:25" x14ac:dyDescent="0.3">
      <c r="A173" s="5"/>
      <c r="B173" s="5"/>
      <c r="C173" s="5"/>
      <c r="D173" s="6"/>
      <c r="E173" s="6"/>
      <c r="F173" s="5"/>
      <c r="G173" s="10"/>
      <c r="H173" s="7"/>
      <c r="I173" s="8"/>
      <c r="J173" s="8"/>
      <c r="K173" s="9"/>
      <c r="L173" s="8"/>
      <c r="M173" s="8"/>
      <c r="N173" s="8"/>
      <c r="O173" s="8"/>
    </row>
    <row r="174" spans="1:25" x14ac:dyDescent="0.3">
      <c r="A174" s="5"/>
      <c r="B174" s="5"/>
      <c r="C174" s="5"/>
      <c r="D174" s="6"/>
      <c r="E174" s="6"/>
      <c r="F174" s="5"/>
      <c r="G174" s="10"/>
      <c r="H174" s="7"/>
      <c r="I174" s="8"/>
      <c r="J174" s="8"/>
      <c r="K174" s="9"/>
      <c r="L174" s="8"/>
      <c r="M174" s="8"/>
      <c r="N174" s="8"/>
      <c r="O174" s="8"/>
    </row>
    <row r="175" spans="1:25" x14ac:dyDescent="0.3">
      <c r="A175" s="5"/>
      <c r="B175" s="5"/>
      <c r="C175" s="5"/>
      <c r="D175" s="6"/>
      <c r="E175" s="6"/>
      <c r="F175" s="5"/>
      <c r="G175" s="10"/>
      <c r="H175" s="7"/>
      <c r="I175" s="8"/>
      <c r="J175" s="8"/>
      <c r="K175" s="9"/>
      <c r="L175" s="8"/>
      <c r="M175" s="8"/>
      <c r="N175" s="8"/>
      <c r="O175" s="8"/>
    </row>
    <row r="176" spans="1:25" x14ac:dyDescent="0.3">
      <c r="A176" s="5"/>
      <c r="B176" s="5"/>
      <c r="C176" s="5"/>
      <c r="D176" s="6"/>
      <c r="E176" s="6"/>
      <c r="F176" s="5"/>
      <c r="G176" s="10"/>
      <c r="H176" s="7"/>
      <c r="I176" s="8"/>
      <c r="J176" s="8"/>
      <c r="K176" s="9"/>
      <c r="L176" s="8"/>
      <c r="M176" s="8"/>
      <c r="N176" s="8"/>
      <c r="O176" s="8"/>
    </row>
    <row r="177" spans="1:15" x14ac:dyDescent="0.3">
      <c r="A177" s="5"/>
      <c r="B177" s="5"/>
      <c r="C177" s="5"/>
      <c r="D177" s="6"/>
      <c r="E177" s="6"/>
      <c r="F177" s="5"/>
      <c r="G177" s="10"/>
      <c r="H177" s="7"/>
      <c r="I177" s="8"/>
      <c r="J177" s="8"/>
      <c r="K177" s="9"/>
      <c r="L177" s="8"/>
      <c r="M177" s="8"/>
      <c r="N177" s="8"/>
      <c r="O177" s="8"/>
    </row>
    <row r="178" spans="1:15" x14ac:dyDescent="0.3">
      <c r="A178" s="5"/>
      <c r="B178" s="5"/>
      <c r="C178" s="5"/>
      <c r="D178" s="6"/>
      <c r="E178" s="6"/>
      <c r="F178" s="5"/>
      <c r="G178" s="10"/>
      <c r="H178" s="7"/>
      <c r="I178" s="8"/>
      <c r="J178" s="8"/>
      <c r="K178" s="9"/>
      <c r="L178" s="8"/>
      <c r="M178" s="8"/>
      <c r="N178" s="8"/>
      <c r="O178" s="8"/>
    </row>
    <row r="179" spans="1:15" x14ac:dyDescent="0.3">
      <c r="A179" s="5"/>
      <c r="B179" s="5"/>
      <c r="C179" s="5"/>
      <c r="D179" s="6"/>
      <c r="E179" s="6"/>
      <c r="F179" s="5"/>
      <c r="G179" s="10"/>
      <c r="H179" s="7"/>
      <c r="I179" s="8"/>
      <c r="J179" s="8"/>
      <c r="K179" s="9"/>
      <c r="L179" s="8"/>
      <c r="M179" s="8"/>
      <c r="N179" s="8"/>
      <c r="O179" s="8"/>
    </row>
    <row r="180" spans="1:15" x14ac:dyDescent="0.3">
      <c r="A180" s="5"/>
      <c r="B180" s="5"/>
      <c r="C180" s="5"/>
      <c r="D180" s="6"/>
      <c r="E180" s="6"/>
      <c r="F180" s="5"/>
      <c r="G180" s="10"/>
      <c r="H180" s="7"/>
      <c r="I180" s="8"/>
      <c r="J180" s="8"/>
      <c r="K180" s="9"/>
      <c r="L180" s="8"/>
      <c r="M180" s="8"/>
      <c r="N180" s="8"/>
      <c r="O180" s="8"/>
    </row>
    <row r="181" spans="1:15" x14ac:dyDescent="0.3">
      <c r="A181" s="5"/>
      <c r="B181" s="5"/>
      <c r="C181" s="5"/>
      <c r="D181" s="6"/>
      <c r="E181" s="6"/>
      <c r="F181" s="5"/>
      <c r="G181" s="10"/>
      <c r="H181" s="7"/>
      <c r="I181" s="8"/>
      <c r="J181" s="8"/>
      <c r="K181" s="9"/>
      <c r="L181" s="8"/>
      <c r="M181" s="8"/>
      <c r="N181" s="8"/>
      <c r="O181" s="8"/>
    </row>
    <row r="182" spans="1:15" x14ac:dyDescent="0.3">
      <c r="A182" s="5"/>
      <c r="B182" s="5"/>
      <c r="C182" s="5"/>
      <c r="D182" s="6"/>
      <c r="E182" s="6"/>
      <c r="F182" s="5"/>
      <c r="G182" s="10"/>
      <c r="H182" s="7"/>
      <c r="I182" s="8"/>
      <c r="J182" s="8"/>
      <c r="K182" s="9"/>
      <c r="L182" s="8"/>
      <c r="M182" s="8"/>
      <c r="N182" s="8"/>
      <c r="O182" s="8"/>
    </row>
    <row r="183" spans="1:15" x14ac:dyDescent="0.3">
      <c r="A183" s="5"/>
      <c r="B183" s="5"/>
      <c r="C183" s="5"/>
      <c r="D183" s="6"/>
      <c r="E183" s="6"/>
      <c r="F183" s="5"/>
      <c r="G183" s="10"/>
      <c r="H183" s="7"/>
      <c r="I183" s="8"/>
      <c r="J183" s="8"/>
      <c r="K183" s="9"/>
      <c r="L183" s="8"/>
      <c r="M183" s="8"/>
      <c r="N183" s="8"/>
      <c r="O183" s="8"/>
    </row>
    <row r="184" spans="1:15" x14ac:dyDescent="0.3">
      <c r="A184" s="5"/>
      <c r="B184" s="5"/>
      <c r="C184" s="5"/>
      <c r="D184" s="6"/>
      <c r="E184" s="6"/>
      <c r="F184" s="5"/>
      <c r="G184" s="10"/>
      <c r="H184" s="7"/>
      <c r="I184" s="8"/>
      <c r="J184" s="8"/>
      <c r="K184" s="9"/>
      <c r="L184" s="8"/>
      <c r="M184" s="8"/>
      <c r="N184" s="8"/>
      <c r="O184" s="8"/>
    </row>
    <row r="185" spans="1:15" x14ac:dyDescent="0.3">
      <c r="A185" s="5"/>
      <c r="B185" s="5"/>
      <c r="C185" s="5"/>
      <c r="D185" s="6"/>
      <c r="E185" s="6"/>
      <c r="F185" s="5"/>
      <c r="G185" s="10"/>
      <c r="H185" s="7"/>
      <c r="I185" s="8"/>
      <c r="J185" s="8"/>
      <c r="K185" s="9"/>
      <c r="L185" s="8"/>
      <c r="M185" s="8"/>
      <c r="N185" s="8"/>
      <c r="O185" s="8"/>
    </row>
    <row r="186" spans="1:15" x14ac:dyDescent="0.3">
      <c r="A186" s="5"/>
      <c r="B186" s="5"/>
      <c r="C186" s="5"/>
      <c r="D186" s="6"/>
      <c r="E186" s="6"/>
      <c r="F186" s="5"/>
      <c r="G186" s="10"/>
      <c r="H186" s="7"/>
      <c r="I186" s="8"/>
      <c r="J186" s="8"/>
      <c r="K186" s="9"/>
      <c r="L186" s="8"/>
      <c r="M186" s="8"/>
      <c r="N186" s="8"/>
      <c r="O186" s="8"/>
    </row>
    <row r="187" spans="1:15" x14ac:dyDescent="0.3">
      <c r="A187" s="5"/>
      <c r="B187" s="5"/>
      <c r="C187" s="5"/>
      <c r="D187" s="6"/>
      <c r="E187" s="6"/>
      <c r="F187" s="5"/>
      <c r="G187" s="10"/>
      <c r="H187" s="7"/>
      <c r="I187" s="8"/>
      <c r="J187" s="8"/>
      <c r="K187" s="9"/>
      <c r="L187" s="8"/>
      <c r="M187" s="8"/>
      <c r="N187" s="8"/>
      <c r="O187" s="8"/>
    </row>
    <row r="188" spans="1:15" x14ac:dyDescent="0.3">
      <c r="A188" s="5"/>
      <c r="B188" s="5"/>
      <c r="C188" s="5"/>
      <c r="D188" s="6"/>
      <c r="E188" s="6"/>
      <c r="F188" s="5"/>
      <c r="G188" s="10"/>
      <c r="H188" s="7"/>
      <c r="I188" s="8"/>
      <c r="J188" s="8"/>
      <c r="K188" s="9"/>
      <c r="L188" s="8"/>
      <c r="M188" s="8"/>
      <c r="N188" s="8"/>
      <c r="O188" s="8"/>
    </row>
    <row r="189" spans="1:15" x14ac:dyDescent="0.3">
      <c r="A189" s="5"/>
      <c r="B189" s="5"/>
      <c r="C189" s="5"/>
      <c r="D189" s="6"/>
      <c r="E189" s="6"/>
      <c r="F189" s="5"/>
      <c r="G189" s="10"/>
      <c r="H189" s="7"/>
      <c r="I189" s="8"/>
      <c r="J189" s="8"/>
      <c r="K189" s="9"/>
      <c r="L189" s="8"/>
      <c r="M189" s="8"/>
      <c r="N189" s="8"/>
      <c r="O189" s="8"/>
    </row>
    <row r="190" spans="1:15" x14ac:dyDescent="0.3">
      <c r="A190" s="5"/>
      <c r="B190" s="5"/>
      <c r="C190" s="5"/>
      <c r="D190" s="6"/>
      <c r="E190" s="6"/>
      <c r="F190" s="5"/>
      <c r="G190" s="10"/>
      <c r="H190" s="7"/>
      <c r="I190" s="8"/>
      <c r="J190" s="8"/>
      <c r="K190" s="9"/>
      <c r="L190" s="8"/>
      <c r="M190" s="8"/>
      <c r="N190" s="8"/>
      <c r="O190" s="8"/>
    </row>
    <row r="191" spans="1:15" x14ac:dyDescent="0.3">
      <c r="A191" s="5"/>
      <c r="B191" s="5"/>
      <c r="C191" s="5"/>
      <c r="D191" s="6"/>
      <c r="E191" s="6"/>
      <c r="F191" s="5"/>
      <c r="G191" s="10"/>
      <c r="H191" s="7"/>
      <c r="I191" s="8"/>
      <c r="J191" s="8"/>
      <c r="K191" s="9"/>
      <c r="L191" s="8"/>
      <c r="M191" s="8"/>
      <c r="N191" s="8"/>
      <c r="O191" s="8"/>
    </row>
    <row r="192" spans="1:15" x14ac:dyDescent="0.3">
      <c r="A192" s="5"/>
      <c r="B192" s="5"/>
      <c r="C192" s="5"/>
      <c r="D192" s="6"/>
      <c r="E192" s="6"/>
      <c r="F192" s="5"/>
      <c r="G192" s="10"/>
      <c r="H192" s="7"/>
      <c r="I192" s="8"/>
      <c r="J192" s="8"/>
      <c r="K192" s="9"/>
      <c r="L192" s="8"/>
      <c r="M192" s="8"/>
      <c r="N192" s="8"/>
      <c r="O192" s="8"/>
    </row>
    <row r="193" spans="1:15" x14ac:dyDescent="0.3">
      <c r="A193" s="5"/>
      <c r="B193" s="5"/>
      <c r="C193" s="5"/>
      <c r="D193" s="6"/>
      <c r="E193" s="6"/>
      <c r="F193" s="5"/>
      <c r="G193" s="10"/>
      <c r="H193" s="7"/>
      <c r="I193" s="8"/>
      <c r="J193" s="8"/>
      <c r="K193" s="9"/>
      <c r="L193" s="8"/>
      <c r="M193" s="8"/>
      <c r="N193" s="8"/>
      <c r="O193" s="8"/>
    </row>
    <row r="194" spans="1:15" x14ac:dyDescent="0.3">
      <c r="A194" s="5"/>
      <c r="B194" s="5"/>
      <c r="C194" s="5"/>
      <c r="D194" s="6"/>
      <c r="E194" s="6"/>
      <c r="F194" s="5"/>
      <c r="G194" s="10"/>
      <c r="H194" s="7"/>
      <c r="I194" s="8"/>
      <c r="J194" s="8"/>
      <c r="K194" s="9"/>
      <c r="L194" s="8"/>
      <c r="M194" s="8"/>
      <c r="N194" s="8"/>
      <c r="O194" s="8"/>
    </row>
    <row r="195" spans="1:15" x14ac:dyDescent="0.3">
      <c r="A195" s="5"/>
      <c r="B195" s="5"/>
      <c r="C195" s="5"/>
      <c r="D195" s="6"/>
      <c r="E195" s="6"/>
      <c r="F195" s="5"/>
      <c r="G195" s="10"/>
      <c r="H195" s="7"/>
      <c r="I195" s="8"/>
      <c r="J195" s="8"/>
      <c r="K195" s="9"/>
      <c r="L195" s="8"/>
      <c r="M195" s="8"/>
      <c r="N195" s="8"/>
      <c r="O195" s="8"/>
    </row>
    <row r="196" spans="1:15" x14ac:dyDescent="0.3">
      <c r="A196" s="5"/>
      <c r="B196" s="5"/>
      <c r="C196" s="5"/>
      <c r="D196" s="6"/>
      <c r="E196" s="6"/>
      <c r="F196" s="5"/>
      <c r="G196" s="10"/>
      <c r="H196" s="7"/>
      <c r="I196" s="8"/>
      <c r="J196" s="8"/>
      <c r="K196" s="9"/>
      <c r="L196" s="8"/>
      <c r="M196" s="8"/>
      <c r="N196" s="8"/>
      <c r="O196" s="8"/>
    </row>
    <row r="197" spans="1:15" x14ac:dyDescent="0.3">
      <c r="A197" s="5"/>
      <c r="B197" s="5"/>
      <c r="C197" s="5"/>
      <c r="D197" s="6"/>
      <c r="E197" s="6"/>
      <c r="F197" s="5"/>
      <c r="G197" s="10"/>
      <c r="H197" s="7"/>
      <c r="I197" s="8"/>
      <c r="J197" s="8"/>
      <c r="K197" s="9"/>
      <c r="L197" s="8"/>
      <c r="M197" s="8"/>
      <c r="N197" s="8"/>
      <c r="O197" s="8"/>
    </row>
    <row r="198" spans="1:15" x14ac:dyDescent="0.3">
      <c r="A198" s="5"/>
      <c r="B198" s="5"/>
      <c r="C198" s="5"/>
      <c r="D198" s="6"/>
      <c r="E198" s="6"/>
      <c r="F198" s="5"/>
      <c r="G198" s="10"/>
      <c r="H198" s="7"/>
      <c r="I198" s="8"/>
      <c r="J198" s="8"/>
      <c r="K198" s="9"/>
      <c r="L198" s="8"/>
      <c r="M198" s="8"/>
      <c r="N198" s="8"/>
      <c r="O198" s="8"/>
    </row>
    <row r="199" spans="1:15" x14ac:dyDescent="0.3">
      <c r="A199" s="5"/>
      <c r="B199" s="5"/>
      <c r="C199" s="5"/>
      <c r="D199" s="6"/>
      <c r="E199" s="6"/>
      <c r="F199" s="5"/>
      <c r="G199" s="10"/>
      <c r="H199" s="7"/>
      <c r="I199" s="8"/>
      <c r="J199" s="8"/>
      <c r="K199" s="9"/>
      <c r="L199" s="8"/>
      <c r="M199" s="8"/>
      <c r="N199" s="8"/>
      <c r="O199" s="8"/>
    </row>
    <row r="200" spans="1:15" x14ac:dyDescent="0.3">
      <c r="A200" s="5"/>
      <c r="B200" s="5"/>
      <c r="C200" s="5"/>
      <c r="D200" s="6"/>
      <c r="E200" s="6"/>
      <c r="F200" s="5"/>
      <c r="G200" s="10"/>
      <c r="H200" s="7"/>
      <c r="I200" s="8"/>
      <c r="J200" s="8"/>
      <c r="K200" s="9"/>
      <c r="L200" s="8"/>
      <c r="M200" s="8"/>
      <c r="N200" s="8"/>
      <c r="O200" s="8"/>
    </row>
    <row r="201" spans="1:15" x14ac:dyDescent="0.3">
      <c r="A201" s="5"/>
      <c r="B201" s="5"/>
      <c r="C201" s="5"/>
      <c r="D201" s="6"/>
      <c r="E201" s="6"/>
      <c r="F201" s="5"/>
      <c r="G201" s="10"/>
      <c r="H201" s="7"/>
      <c r="I201" s="8"/>
      <c r="J201" s="8"/>
      <c r="K201" s="9"/>
      <c r="L201" s="8"/>
      <c r="M201" s="8"/>
      <c r="N201" s="8"/>
      <c r="O201" s="8"/>
    </row>
    <row r="202" spans="1:15" x14ac:dyDescent="0.3">
      <c r="A202" s="5"/>
      <c r="B202" s="5"/>
      <c r="C202" s="5"/>
      <c r="D202" s="6"/>
      <c r="E202" s="6"/>
      <c r="F202" s="5"/>
      <c r="G202" s="10"/>
      <c r="H202" s="7"/>
      <c r="I202" s="8"/>
      <c r="J202" s="8"/>
      <c r="K202" s="9"/>
      <c r="L202" s="8"/>
      <c r="M202" s="8"/>
      <c r="N202" s="8"/>
      <c r="O202" s="8"/>
    </row>
    <row r="203" spans="1:15" x14ac:dyDescent="0.3">
      <c r="A203" s="5"/>
      <c r="B203" s="5"/>
      <c r="C203" s="5"/>
      <c r="D203" s="6"/>
      <c r="E203" s="6"/>
      <c r="F203" s="5"/>
      <c r="G203" s="10"/>
      <c r="H203" s="7"/>
      <c r="I203" s="8"/>
      <c r="J203" s="8"/>
      <c r="K203" s="9"/>
      <c r="L203" s="8"/>
      <c r="M203" s="8"/>
      <c r="N203" s="8"/>
      <c r="O203" s="8"/>
    </row>
    <row r="204" spans="1:15" x14ac:dyDescent="0.3">
      <c r="A204" s="5"/>
      <c r="B204" s="5"/>
      <c r="C204" s="5"/>
      <c r="D204" s="6"/>
      <c r="E204" s="6"/>
      <c r="F204" s="5"/>
      <c r="G204" s="10"/>
      <c r="H204" s="7"/>
      <c r="I204" s="8"/>
      <c r="J204" s="8"/>
      <c r="K204" s="9"/>
      <c r="L204" s="8"/>
      <c r="M204" s="8"/>
      <c r="N204" s="8"/>
      <c r="O204" s="8"/>
    </row>
    <row r="205" spans="1:15" x14ac:dyDescent="0.3">
      <c r="A205" s="5"/>
      <c r="B205" s="5"/>
      <c r="C205" s="5"/>
      <c r="D205" s="6"/>
      <c r="E205" s="6"/>
      <c r="F205" s="5"/>
      <c r="G205" s="10"/>
      <c r="H205" s="7"/>
      <c r="I205" s="8"/>
      <c r="J205" s="8"/>
      <c r="K205" s="9"/>
      <c r="L205" s="8"/>
      <c r="M205" s="8"/>
      <c r="N205" s="8"/>
      <c r="O205" s="8"/>
    </row>
    <row r="206" spans="1:15" x14ac:dyDescent="0.3">
      <c r="A206" s="5"/>
      <c r="B206" s="5"/>
      <c r="C206" s="5"/>
      <c r="D206" s="6"/>
      <c r="E206" s="6"/>
      <c r="F206" s="5"/>
      <c r="G206" s="10"/>
      <c r="H206" s="7"/>
      <c r="I206" s="8"/>
      <c r="J206" s="8"/>
      <c r="K206" s="9"/>
      <c r="L206" s="8"/>
      <c r="M206" s="8"/>
      <c r="N206" s="8"/>
      <c r="O206" s="8"/>
    </row>
    <row r="207" spans="1:15" x14ac:dyDescent="0.3">
      <c r="A207" s="5"/>
      <c r="B207" s="5"/>
      <c r="C207" s="5"/>
      <c r="D207" s="6"/>
      <c r="E207" s="6"/>
      <c r="F207" s="5"/>
      <c r="G207" s="10"/>
      <c r="H207" s="7"/>
      <c r="I207" s="8"/>
      <c r="J207" s="8"/>
      <c r="K207" s="9"/>
      <c r="L207" s="8"/>
      <c r="M207" s="8"/>
      <c r="N207" s="8"/>
      <c r="O207" s="8"/>
    </row>
    <row r="208" spans="1:15" x14ac:dyDescent="0.3">
      <c r="A208" s="5"/>
      <c r="B208" s="5"/>
      <c r="C208" s="5"/>
      <c r="D208" s="6"/>
      <c r="E208" s="6"/>
      <c r="F208" s="5"/>
      <c r="G208" s="10"/>
      <c r="H208" s="7"/>
      <c r="I208" s="8"/>
      <c r="J208" s="8"/>
      <c r="K208" s="9"/>
      <c r="L208" s="8"/>
      <c r="M208" s="8"/>
      <c r="N208" s="8"/>
      <c r="O208" s="8"/>
    </row>
    <row r="209" spans="1:15" x14ac:dyDescent="0.3">
      <c r="A209" s="5"/>
      <c r="B209" s="5"/>
      <c r="C209" s="5"/>
      <c r="D209" s="6"/>
      <c r="E209" s="6"/>
      <c r="F209" s="5"/>
      <c r="G209" s="10"/>
      <c r="H209" s="7"/>
      <c r="I209" s="8"/>
      <c r="J209" s="8"/>
      <c r="K209" s="9"/>
      <c r="L209" s="8"/>
      <c r="M209" s="8"/>
      <c r="N209" s="8"/>
      <c r="O209" s="8"/>
    </row>
    <row r="210" spans="1:15" x14ac:dyDescent="0.3">
      <c r="A210" s="5"/>
      <c r="B210" s="5"/>
      <c r="C210" s="5"/>
      <c r="D210" s="6"/>
      <c r="E210" s="6"/>
      <c r="F210" s="5"/>
      <c r="G210" s="10"/>
      <c r="H210" s="7"/>
      <c r="I210" s="8"/>
      <c r="J210" s="8"/>
      <c r="K210" s="9"/>
      <c r="L210" s="8"/>
      <c r="M210" s="8"/>
      <c r="N210" s="8"/>
      <c r="O210" s="8"/>
    </row>
    <row r="211" spans="1:15" x14ac:dyDescent="0.3">
      <c r="A211" s="5"/>
      <c r="B211" s="5"/>
      <c r="C211" s="5"/>
      <c r="D211" s="6"/>
      <c r="E211" s="6"/>
      <c r="F211" s="5"/>
      <c r="G211" s="10"/>
      <c r="H211" s="7"/>
      <c r="I211" s="8"/>
      <c r="J211" s="8"/>
      <c r="K211" s="9"/>
      <c r="L211" s="8"/>
      <c r="M211" s="8"/>
      <c r="N211" s="8"/>
      <c r="O211" s="8"/>
    </row>
    <row r="212" spans="1:15" x14ac:dyDescent="0.3">
      <c r="A212" s="5"/>
      <c r="B212" s="5"/>
      <c r="C212" s="5"/>
      <c r="D212" s="6"/>
      <c r="E212" s="6"/>
      <c r="F212" s="5"/>
      <c r="G212" s="10"/>
      <c r="H212" s="7"/>
      <c r="I212" s="8"/>
      <c r="J212" s="8"/>
      <c r="K212" s="9"/>
      <c r="L212" s="8"/>
      <c r="M212" s="8"/>
      <c r="N212" s="8"/>
      <c r="O212" s="8"/>
    </row>
    <row r="213" spans="1:15" x14ac:dyDescent="0.3">
      <c r="A213" s="5"/>
      <c r="B213" s="5"/>
      <c r="C213" s="5"/>
      <c r="D213" s="6"/>
      <c r="E213" s="6"/>
      <c r="F213" s="5"/>
      <c r="G213" s="10"/>
      <c r="H213" s="7"/>
      <c r="I213" s="8"/>
      <c r="J213" s="8"/>
      <c r="K213" s="9"/>
      <c r="L213" s="8"/>
      <c r="M213" s="8"/>
      <c r="N213" s="8"/>
      <c r="O213" s="8"/>
    </row>
    <row r="214" spans="1:15" x14ac:dyDescent="0.3">
      <c r="A214" s="5"/>
      <c r="B214" s="5"/>
      <c r="C214" s="5"/>
      <c r="D214" s="6"/>
      <c r="E214" s="6"/>
      <c r="F214" s="5"/>
      <c r="G214" s="10"/>
      <c r="H214" s="7"/>
      <c r="I214" s="8"/>
      <c r="J214" s="8"/>
      <c r="K214" s="9"/>
      <c r="L214" s="8"/>
      <c r="M214" s="8"/>
      <c r="N214" s="8"/>
      <c r="O214" s="8"/>
    </row>
    <row r="215" spans="1:15" x14ac:dyDescent="0.3">
      <c r="A215" s="5"/>
      <c r="B215" s="5"/>
      <c r="C215" s="5"/>
      <c r="D215" s="6"/>
      <c r="E215" s="6"/>
      <c r="F215" s="5"/>
      <c r="G215" s="10"/>
      <c r="H215" s="7"/>
      <c r="I215" s="8"/>
      <c r="J215" s="8"/>
      <c r="K215" s="9"/>
      <c r="L215" s="8"/>
      <c r="M215" s="8"/>
      <c r="N215" s="8"/>
      <c r="O215" s="8"/>
    </row>
    <row r="216" spans="1:15" x14ac:dyDescent="0.3">
      <c r="A216" s="5"/>
      <c r="B216" s="5"/>
      <c r="C216" s="5"/>
      <c r="D216" s="6"/>
      <c r="E216" s="6"/>
      <c r="F216" s="5"/>
      <c r="G216" s="10"/>
      <c r="H216" s="7"/>
      <c r="I216" s="8"/>
      <c r="J216" s="8"/>
      <c r="K216" s="9"/>
      <c r="L216" s="8"/>
      <c r="M216" s="8"/>
      <c r="N216" s="8"/>
      <c r="O216" s="8"/>
    </row>
    <row r="217" spans="1:15" x14ac:dyDescent="0.3">
      <c r="A217" s="5"/>
      <c r="B217" s="5"/>
      <c r="C217" s="5"/>
      <c r="D217" s="6"/>
      <c r="E217" s="6"/>
      <c r="F217" s="5"/>
      <c r="G217" s="10"/>
      <c r="H217" s="7"/>
      <c r="I217" s="8"/>
      <c r="J217" s="8"/>
      <c r="K217" s="9"/>
      <c r="L217" s="8"/>
      <c r="M217" s="8"/>
      <c r="N217" s="8"/>
      <c r="O217" s="8"/>
    </row>
    <row r="218" spans="1:15" x14ac:dyDescent="0.3">
      <c r="A218" s="5"/>
      <c r="B218" s="5"/>
      <c r="C218" s="5"/>
      <c r="D218" s="6"/>
      <c r="E218" s="6"/>
      <c r="F218" s="5"/>
      <c r="G218" s="10"/>
      <c r="H218" s="7"/>
      <c r="I218" s="8"/>
      <c r="J218" s="8"/>
      <c r="K218" s="9"/>
      <c r="L218" s="8"/>
      <c r="M218" s="8"/>
      <c r="N218" s="8"/>
      <c r="O218" s="8"/>
    </row>
    <row r="219" spans="1:15" x14ac:dyDescent="0.3">
      <c r="A219" s="5"/>
      <c r="B219" s="5"/>
      <c r="C219" s="5"/>
      <c r="D219" s="6"/>
      <c r="E219" s="6"/>
      <c r="F219" s="5"/>
      <c r="G219" s="10"/>
      <c r="H219" s="7"/>
      <c r="I219" s="8"/>
      <c r="J219" s="8"/>
      <c r="K219" s="9"/>
      <c r="L219" s="8"/>
      <c r="M219" s="8"/>
      <c r="N219" s="8"/>
      <c r="O219" s="8"/>
    </row>
    <row r="220" spans="1:15" x14ac:dyDescent="0.3">
      <c r="A220" s="5"/>
      <c r="B220" s="5"/>
      <c r="C220" s="5"/>
      <c r="D220" s="6"/>
      <c r="E220" s="6"/>
      <c r="F220" s="5"/>
      <c r="G220" s="10"/>
      <c r="H220" s="7"/>
      <c r="I220" s="8"/>
      <c r="J220" s="8"/>
      <c r="K220" s="9"/>
      <c r="L220" s="8"/>
      <c r="M220" s="8"/>
      <c r="N220" s="8"/>
      <c r="O220" s="8"/>
    </row>
    <row r="221" spans="1:15" x14ac:dyDescent="0.3">
      <c r="A221" s="5"/>
      <c r="B221" s="5"/>
      <c r="C221" s="5"/>
      <c r="D221" s="6"/>
      <c r="E221" s="6"/>
      <c r="F221" s="5"/>
      <c r="G221" s="10"/>
      <c r="H221" s="7"/>
      <c r="I221" s="8"/>
      <c r="J221" s="8"/>
      <c r="K221" s="9"/>
      <c r="L221" s="8"/>
      <c r="M221" s="8"/>
      <c r="N221" s="8"/>
      <c r="O221" s="8"/>
    </row>
    <row r="222" spans="1:15" x14ac:dyDescent="0.3">
      <c r="A222" s="5"/>
      <c r="B222" s="5"/>
      <c r="C222" s="5"/>
      <c r="D222" s="6"/>
      <c r="E222" s="6"/>
      <c r="F222" s="5"/>
      <c r="G222" s="10"/>
      <c r="H222" s="7"/>
      <c r="I222" s="8"/>
      <c r="J222" s="8"/>
      <c r="K222" s="9"/>
      <c r="L222" s="8"/>
      <c r="M222" s="8"/>
      <c r="N222" s="8"/>
      <c r="O222" s="8"/>
    </row>
    <row r="223" spans="1:15" x14ac:dyDescent="0.3">
      <c r="A223" s="5"/>
      <c r="B223" s="5"/>
      <c r="C223" s="5"/>
      <c r="D223" s="6"/>
      <c r="E223" s="6"/>
      <c r="F223" s="5"/>
      <c r="G223" s="10"/>
      <c r="H223" s="7"/>
      <c r="I223" s="8"/>
      <c r="J223" s="8"/>
      <c r="K223" s="9"/>
      <c r="L223" s="8"/>
      <c r="M223" s="8"/>
      <c r="N223" s="8"/>
      <c r="O223" s="8"/>
    </row>
    <row r="224" spans="1:15" x14ac:dyDescent="0.3">
      <c r="A224" s="5"/>
      <c r="B224" s="5"/>
      <c r="C224" s="5"/>
      <c r="D224" s="6"/>
      <c r="E224" s="6"/>
      <c r="F224" s="5"/>
      <c r="G224" s="10"/>
      <c r="H224" s="7"/>
      <c r="I224" s="8"/>
      <c r="J224" s="8"/>
      <c r="K224" s="9"/>
      <c r="L224" s="8"/>
      <c r="M224" s="8"/>
      <c r="N224" s="8"/>
      <c r="O224" s="8"/>
    </row>
    <row r="225" spans="1:15" x14ac:dyDescent="0.3">
      <c r="A225" s="5"/>
      <c r="B225" s="5"/>
      <c r="C225" s="5"/>
      <c r="D225" s="6"/>
      <c r="E225" s="6"/>
      <c r="F225" s="5"/>
      <c r="G225" s="10"/>
      <c r="H225" s="7"/>
      <c r="I225" s="8"/>
      <c r="J225" s="8"/>
      <c r="K225" s="9"/>
      <c r="L225" s="8"/>
      <c r="M225" s="8"/>
      <c r="N225" s="8"/>
      <c r="O225" s="8"/>
    </row>
    <row r="226" spans="1:15" x14ac:dyDescent="0.3">
      <c r="A226" s="5"/>
      <c r="B226" s="5"/>
      <c r="C226" s="5"/>
      <c r="D226" s="6"/>
      <c r="E226" s="6"/>
      <c r="F226" s="5"/>
      <c r="G226" s="10"/>
      <c r="H226" s="7"/>
      <c r="I226" s="8"/>
      <c r="J226" s="8"/>
      <c r="K226" s="9"/>
      <c r="L226" s="8"/>
      <c r="M226" s="8"/>
      <c r="N226" s="8"/>
      <c r="O226" s="8"/>
    </row>
    <row r="227" spans="1:15" x14ac:dyDescent="0.3">
      <c r="A227" s="5"/>
      <c r="B227" s="5"/>
      <c r="C227" s="5"/>
      <c r="D227" s="6"/>
      <c r="E227" s="6"/>
      <c r="F227" s="5"/>
      <c r="G227" s="10"/>
      <c r="H227" s="7"/>
      <c r="I227" s="8"/>
      <c r="J227" s="8"/>
      <c r="K227" s="9"/>
      <c r="L227" s="8"/>
      <c r="M227" s="8"/>
      <c r="N227" s="8"/>
      <c r="O227" s="8"/>
    </row>
    <row r="228" spans="1:15" x14ac:dyDescent="0.3">
      <c r="A228" s="5"/>
      <c r="B228" s="5"/>
      <c r="C228" s="5"/>
      <c r="D228" s="6"/>
      <c r="E228" s="6"/>
      <c r="F228" s="5"/>
      <c r="G228" s="10"/>
      <c r="H228" s="7"/>
      <c r="I228" s="8"/>
      <c r="J228" s="8"/>
      <c r="K228" s="9"/>
      <c r="L228" s="8"/>
      <c r="M228" s="8"/>
      <c r="N228" s="8"/>
      <c r="O228" s="8"/>
    </row>
    <row r="229" spans="1:15" x14ac:dyDescent="0.3">
      <c r="A229" s="5"/>
      <c r="B229" s="5"/>
      <c r="C229" s="5"/>
      <c r="D229" s="6"/>
      <c r="E229" s="6"/>
      <c r="F229" s="5"/>
      <c r="G229" s="10"/>
      <c r="H229" s="7"/>
      <c r="I229" s="8"/>
      <c r="J229" s="8"/>
      <c r="K229" s="9"/>
      <c r="L229" s="8"/>
      <c r="M229" s="8"/>
      <c r="N229" s="8"/>
      <c r="O229" s="8"/>
    </row>
    <row r="230" spans="1:15" x14ac:dyDescent="0.3">
      <c r="A230" s="5"/>
      <c r="B230" s="5"/>
      <c r="C230" s="5"/>
      <c r="D230" s="6"/>
      <c r="E230" s="6"/>
      <c r="F230" s="5"/>
      <c r="G230" s="10"/>
      <c r="H230" s="7"/>
      <c r="I230" s="8"/>
      <c r="J230" s="8"/>
      <c r="K230" s="9"/>
      <c r="L230" s="8"/>
      <c r="M230" s="8"/>
      <c r="N230" s="8"/>
      <c r="O230" s="8"/>
    </row>
    <row r="231" spans="1:15" x14ac:dyDescent="0.3">
      <c r="A231" s="5"/>
      <c r="B231" s="5"/>
      <c r="C231" s="5"/>
      <c r="D231" s="6"/>
      <c r="E231" s="6"/>
      <c r="F231" s="5"/>
      <c r="G231" s="10"/>
      <c r="H231" s="7"/>
      <c r="I231" s="8"/>
      <c r="J231" s="8"/>
      <c r="K231" s="9"/>
      <c r="L231" s="8"/>
      <c r="M231" s="8"/>
      <c r="N231" s="8"/>
      <c r="O231" s="8"/>
    </row>
    <row r="232" spans="1:15" x14ac:dyDescent="0.3">
      <c r="A232" s="5"/>
      <c r="B232" s="5"/>
      <c r="C232" s="5"/>
      <c r="D232" s="6"/>
      <c r="E232" s="6"/>
      <c r="F232" s="5"/>
      <c r="G232" s="10"/>
      <c r="H232" s="7"/>
      <c r="I232" s="8"/>
      <c r="J232" s="8"/>
      <c r="K232" s="9"/>
      <c r="L232" s="8"/>
      <c r="M232" s="8"/>
      <c r="N232" s="8"/>
      <c r="O232" s="8"/>
    </row>
    <row r="233" spans="1:15" x14ac:dyDescent="0.3">
      <c r="A233" s="5"/>
      <c r="B233" s="5"/>
      <c r="C233" s="5"/>
      <c r="D233" s="6"/>
      <c r="E233" s="6"/>
      <c r="F233" s="5"/>
      <c r="G233" s="10"/>
      <c r="H233" s="7"/>
      <c r="I233" s="8"/>
      <c r="J233" s="8"/>
      <c r="K233" s="9"/>
      <c r="L233" s="8"/>
      <c r="M233" s="8"/>
      <c r="N233" s="8"/>
      <c r="O233" s="8"/>
    </row>
    <row r="234" spans="1:15" x14ac:dyDescent="0.3">
      <c r="A234" s="5"/>
      <c r="B234" s="5"/>
      <c r="C234" s="5"/>
      <c r="D234" s="6"/>
      <c r="E234" s="6"/>
      <c r="F234" s="5"/>
      <c r="G234" s="10"/>
      <c r="H234" s="7"/>
      <c r="I234" s="8"/>
      <c r="J234" s="8"/>
      <c r="K234" s="9"/>
      <c r="L234" s="8"/>
      <c r="M234" s="8"/>
      <c r="N234" s="8"/>
      <c r="O234" s="8"/>
    </row>
    <row r="235" spans="1:15" x14ac:dyDescent="0.3">
      <c r="A235" s="5"/>
      <c r="B235" s="5"/>
      <c r="C235" s="5"/>
      <c r="D235" s="6"/>
      <c r="E235" s="6"/>
      <c r="F235" s="5"/>
      <c r="G235" s="10"/>
      <c r="H235" s="7"/>
      <c r="I235" s="8"/>
      <c r="J235" s="8"/>
      <c r="K235" s="9"/>
      <c r="L235" s="8"/>
      <c r="M235" s="8"/>
      <c r="N235" s="8"/>
      <c r="O235" s="8"/>
    </row>
    <row r="236" spans="1:15" x14ac:dyDescent="0.3">
      <c r="A236" s="5"/>
      <c r="B236" s="5"/>
      <c r="C236" s="5"/>
      <c r="D236" s="6"/>
      <c r="E236" s="6"/>
      <c r="F236" s="5"/>
      <c r="G236" s="10"/>
      <c r="H236" s="7"/>
      <c r="I236" s="8"/>
      <c r="J236" s="8"/>
      <c r="K236" s="9"/>
      <c r="L236" s="8"/>
      <c r="M236" s="8"/>
      <c r="N236" s="8"/>
      <c r="O236" s="8"/>
    </row>
    <row r="237" spans="1:15" x14ac:dyDescent="0.3">
      <c r="A237" s="5"/>
      <c r="B237" s="5"/>
      <c r="C237" s="5"/>
      <c r="D237" s="6"/>
      <c r="E237" s="6"/>
      <c r="F237" s="5"/>
      <c r="G237" s="10"/>
      <c r="H237" s="7"/>
      <c r="I237" s="8"/>
      <c r="J237" s="8"/>
      <c r="K237" s="9"/>
      <c r="L237" s="8"/>
      <c r="M237" s="8"/>
      <c r="N237" s="8"/>
      <c r="O237" s="8"/>
    </row>
    <row r="238" spans="1:15" x14ac:dyDescent="0.3">
      <c r="A238" s="5"/>
      <c r="B238" s="5"/>
      <c r="C238" s="5"/>
      <c r="D238" s="6"/>
      <c r="E238" s="6"/>
      <c r="F238" s="5"/>
      <c r="G238" s="10"/>
      <c r="H238" s="7"/>
      <c r="I238" s="8"/>
      <c r="J238" s="8"/>
      <c r="K238" s="9"/>
      <c r="L238" s="8"/>
      <c r="M238" s="8"/>
      <c r="N238" s="8"/>
      <c r="O238" s="8"/>
    </row>
    <row r="239" spans="1:15" x14ac:dyDescent="0.3">
      <c r="A239" s="5"/>
      <c r="B239" s="5"/>
      <c r="C239" s="5"/>
      <c r="D239" s="6"/>
      <c r="E239" s="6"/>
      <c r="F239" s="5"/>
      <c r="G239" s="10"/>
      <c r="H239" s="7"/>
      <c r="I239" s="8"/>
      <c r="J239" s="8"/>
      <c r="K239" s="9"/>
      <c r="L239" s="8"/>
      <c r="M239" s="8"/>
      <c r="N239" s="8"/>
      <c r="O239" s="8"/>
    </row>
    <row r="240" spans="1:15" x14ac:dyDescent="0.3">
      <c r="A240" s="5"/>
      <c r="B240" s="5"/>
      <c r="C240" s="5"/>
      <c r="D240" s="6"/>
      <c r="E240" s="6"/>
      <c r="F240" s="5"/>
      <c r="G240" s="10"/>
      <c r="H240" s="7"/>
      <c r="I240" s="8"/>
      <c r="J240" s="8"/>
      <c r="K240" s="9"/>
      <c r="L240" s="8"/>
      <c r="M240" s="8"/>
      <c r="N240" s="8"/>
      <c r="O240" s="8"/>
    </row>
    <row r="241" spans="1:15" x14ac:dyDescent="0.3">
      <c r="A241" s="5"/>
      <c r="B241" s="5"/>
      <c r="C241" s="5"/>
      <c r="D241" s="6"/>
      <c r="E241" s="6"/>
      <c r="F241" s="5"/>
      <c r="G241" s="10"/>
      <c r="H241" s="7"/>
      <c r="I241" s="8"/>
      <c r="J241" s="8"/>
      <c r="K241" s="9"/>
      <c r="L241" s="8"/>
      <c r="M241" s="8"/>
      <c r="N241" s="8"/>
      <c r="O241" s="8"/>
    </row>
    <row r="242" spans="1:15" x14ac:dyDescent="0.3">
      <c r="A242" s="5"/>
      <c r="B242" s="5"/>
      <c r="C242" s="5"/>
      <c r="D242" s="6"/>
      <c r="E242" s="6"/>
      <c r="F242" s="5"/>
      <c r="G242" s="10"/>
      <c r="H242" s="7"/>
      <c r="I242" s="8"/>
      <c r="J242" s="8"/>
      <c r="K242" s="9"/>
      <c r="L242" s="8"/>
      <c r="M242" s="8"/>
      <c r="N242" s="8"/>
      <c r="O242" s="8"/>
    </row>
    <row r="243" spans="1:15" x14ac:dyDescent="0.3">
      <c r="A243" s="5"/>
      <c r="B243" s="5"/>
      <c r="C243" s="5"/>
      <c r="D243" s="6"/>
      <c r="E243" s="6"/>
      <c r="F243" s="5"/>
      <c r="G243" s="10"/>
      <c r="H243" s="7"/>
      <c r="I243" s="8"/>
      <c r="J243" s="8"/>
      <c r="K243" s="9"/>
      <c r="L243" s="8"/>
      <c r="M243" s="8"/>
      <c r="N243" s="8"/>
      <c r="O243" s="8"/>
    </row>
    <row r="244" spans="1:15" x14ac:dyDescent="0.3">
      <c r="A244" s="5"/>
      <c r="B244" s="5"/>
      <c r="C244" s="5"/>
      <c r="D244" s="6"/>
      <c r="E244" s="6"/>
      <c r="F244" s="5"/>
      <c r="G244" s="10"/>
      <c r="H244" s="7"/>
      <c r="I244" s="8"/>
      <c r="J244" s="8"/>
      <c r="K244" s="9"/>
      <c r="L244" s="8"/>
      <c r="M244" s="8"/>
      <c r="N244" s="8"/>
      <c r="O244" s="8"/>
    </row>
    <row r="245" spans="1:15" x14ac:dyDescent="0.3">
      <c r="A245" s="5"/>
      <c r="B245" s="5"/>
      <c r="C245" s="5"/>
      <c r="D245" s="6"/>
      <c r="E245" s="6"/>
      <c r="F245" s="5"/>
      <c r="G245" s="10"/>
      <c r="H245" s="7"/>
      <c r="I245" s="8"/>
      <c r="J245" s="8"/>
      <c r="K245" s="9"/>
      <c r="L245" s="8"/>
      <c r="M245" s="8"/>
      <c r="N245" s="8"/>
      <c r="O245" s="8"/>
    </row>
    <row r="246" spans="1:15" x14ac:dyDescent="0.3">
      <c r="A246" s="5"/>
      <c r="B246" s="5"/>
      <c r="C246" s="5"/>
      <c r="D246" s="6"/>
      <c r="E246" s="6"/>
      <c r="F246" s="5"/>
      <c r="G246" s="10"/>
      <c r="H246" s="7"/>
      <c r="I246" s="8"/>
      <c r="J246" s="8"/>
      <c r="K246" s="9"/>
      <c r="L246" s="8"/>
      <c r="M246" s="8"/>
      <c r="N246" s="8"/>
      <c r="O246" s="8"/>
    </row>
    <row r="247" spans="1:15" x14ac:dyDescent="0.3">
      <c r="A247" s="5"/>
      <c r="B247" s="5"/>
      <c r="C247" s="5"/>
      <c r="D247" s="6"/>
      <c r="E247" s="6"/>
      <c r="F247" s="5"/>
      <c r="G247" s="10"/>
      <c r="H247" s="7"/>
      <c r="I247" s="8"/>
      <c r="J247" s="8"/>
      <c r="K247" s="9"/>
      <c r="L247" s="8"/>
      <c r="M247" s="8"/>
      <c r="N247" s="8"/>
      <c r="O247" s="8"/>
    </row>
    <row r="248" spans="1:15" x14ac:dyDescent="0.3">
      <c r="A248" s="5"/>
      <c r="B248" s="5"/>
      <c r="C248" s="5"/>
      <c r="D248" s="6"/>
      <c r="E248" s="6"/>
      <c r="F248" s="5"/>
      <c r="G248" s="10"/>
      <c r="H248" s="7"/>
      <c r="I248" s="8"/>
      <c r="J248" s="8"/>
      <c r="K248" s="9"/>
      <c r="L248" s="8"/>
      <c r="M248" s="8"/>
      <c r="N248" s="8"/>
      <c r="O248" s="8"/>
    </row>
    <row r="249" spans="1:15" x14ac:dyDescent="0.3">
      <c r="A249" s="5"/>
      <c r="B249" s="5"/>
      <c r="C249" s="5"/>
      <c r="D249" s="6"/>
      <c r="E249" s="6"/>
      <c r="F249" s="5"/>
      <c r="G249" s="10"/>
      <c r="H249" s="7"/>
      <c r="I249" s="8"/>
      <c r="J249" s="8"/>
      <c r="K249" s="9"/>
      <c r="L249" s="8"/>
      <c r="M249" s="8"/>
      <c r="N249" s="8"/>
      <c r="O249" s="8"/>
    </row>
    <row r="250" spans="1:15" x14ac:dyDescent="0.3">
      <c r="A250" s="5"/>
      <c r="B250" s="5"/>
      <c r="C250" s="5"/>
      <c r="D250" s="6"/>
      <c r="E250" s="6"/>
      <c r="F250" s="5"/>
      <c r="G250" s="10"/>
      <c r="H250" s="7"/>
      <c r="I250" s="8"/>
      <c r="J250" s="8"/>
      <c r="K250" s="9"/>
      <c r="L250" s="8"/>
      <c r="M250" s="8"/>
      <c r="N250" s="8"/>
      <c r="O250" s="8"/>
    </row>
    <row r="251" spans="1:15" x14ac:dyDescent="0.3">
      <c r="A251" s="5"/>
      <c r="B251" s="5"/>
      <c r="C251" s="5"/>
      <c r="D251" s="6"/>
      <c r="E251" s="6"/>
      <c r="F251" s="5"/>
      <c r="G251" s="10"/>
      <c r="H251" s="7"/>
      <c r="I251" s="8"/>
      <c r="J251" s="8"/>
      <c r="K251" s="9"/>
      <c r="L251" s="8"/>
      <c r="M251" s="8"/>
      <c r="N251" s="8"/>
      <c r="O251" s="8"/>
    </row>
    <row r="252" spans="1:15" x14ac:dyDescent="0.3">
      <c r="A252" s="5"/>
      <c r="B252" s="5"/>
      <c r="C252" s="5"/>
      <c r="D252" s="6"/>
      <c r="E252" s="6"/>
      <c r="F252" s="5"/>
      <c r="G252" s="10"/>
      <c r="H252" s="7"/>
      <c r="I252" s="8"/>
      <c r="J252" s="8"/>
      <c r="K252" s="9"/>
      <c r="L252" s="8"/>
      <c r="M252" s="8"/>
      <c r="N252" s="8"/>
      <c r="O252" s="8"/>
    </row>
    <row r="253" spans="1:15" x14ac:dyDescent="0.3">
      <c r="A253" s="5"/>
      <c r="B253" s="5"/>
      <c r="C253" s="5"/>
      <c r="D253" s="6"/>
      <c r="E253" s="6"/>
      <c r="F253" s="5"/>
      <c r="G253" s="10"/>
      <c r="H253" s="7"/>
      <c r="I253" s="8"/>
      <c r="J253" s="8"/>
      <c r="K253" s="9"/>
      <c r="L253" s="8"/>
      <c r="M253" s="8"/>
      <c r="N253" s="8"/>
      <c r="O253" s="8"/>
    </row>
    <row r="254" spans="1:15" x14ac:dyDescent="0.3">
      <c r="A254" s="5"/>
      <c r="B254" s="5"/>
      <c r="C254" s="5"/>
      <c r="D254" s="6"/>
      <c r="E254" s="6"/>
      <c r="F254" s="5"/>
      <c r="G254" s="10"/>
      <c r="H254" s="7"/>
      <c r="I254" s="8"/>
      <c r="J254" s="8"/>
      <c r="K254" s="9"/>
      <c r="L254" s="8"/>
      <c r="M254" s="8"/>
      <c r="N254" s="8"/>
      <c r="O254" s="8"/>
    </row>
    <row r="255" spans="1:15" x14ac:dyDescent="0.3">
      <c r="A255" s="5"/>
      <c r="B255" s="5"/>
      <c r="C255" s="5"/>
      <c r="D255" s="6"/>
      <c r="E255" s="6"/>
      <c r="F255" s="5"/>
      <c r="G255" s="10"/>
      <c r="H255" s="7"/>
      <c r="I255" s="8"/>
      <c r="J255" s="8"/>
      <c r="K255" s="9"/>
      <c r="L255" s="8"/>
      <c r="M255" s="8"/>
      <c r="N255" s="8"/>
      <c r="O255" s="8"/>
    </row>
    <row r="256" spans="1:15" x14ac:dyDescent="0.3">
      <c r="A256" s="5"/>
      <c r="B256" s="5"/>
      <c r="C256" s="5"/>
      <c r="D256" s="6"/>
      <c r="E256" s="6"/>
      <c r="F256" s="5"/>
      <c r="G256" s="10"/>
      <c r="H256" s="7"/>
      <c r="I256" s="8"/>
      <c r="J256" s="8"/>
      <c r="K256" s="9"/>
      <c r="L256" s="8"/>
      <c r="M256" s="8"/>
      <c r="N256" s="8"/>
      <c r="O256" s="8"/>
    </row>
    <row r="257" spans="1:15" x14ac:dyDescent="0.3">
      <c r="A257" s="5"/>
      <c r="B257" s="5"/>
      <c r="C257" s="5"/>
      <c r="D257" s="6"/>
      <c r="E257" s="6"/>
      <c r="F257" s="5"/>
      <c r="G257" s="10"/>
      <c r="H257" s="7"/>
      <c r="I257" s="8"/>
      <c r="J257" s="8"/>
      <c r="K257" s="9"/>
      <c r="L257" s="8"/>
      <c r="M257" s="8"/>
      <c r="N257" s="8"/>
      <c r="O257" s="8"/>
    </row>
    <row r="258" spans="1:15" x14ac:dyDescent="0.3">
      <c r="A258" s="5"/>
      <c r="B258" s="5"/>
      <c r="C258" s="5"/>
      <c r="D258" s="6"/>
      <c r="E258" s="6"/>
      <c r="F258" s="5"/>
      <c r="G258" s="10"/>
      <c r="H258" s="7"/>
      <c r="I258" s="8"/>
      <c r="J258" s="8"/>
      <c r="K258" s="9"/>
      <c r="L258" s="8"/>
      <c r="M258" s="8"/>
      <c r="N258" s="8"/>
      <c r="O258" s="8"/>
    </row>
    <row r="259" spans="1:15" x14ac:dyDescent="0.3">
      <c r="A259" s="5"/>
      <c r="B259" s="5"/>
      <c r="C259" s="5"/>
      <c r="D259" s="6"/>
      <c r="E259" s="6"/>
      <c r="F259" s="5"/>
      <c r="G259" s="10"/>
      <c r="H259" s="7"/>
      <c r="I259" s="8"/>
      <c r="J259" s="8"/>
      <c r="K259" s="9"/>
      <c r="L259" s="8"/>
      <c r="M259" s="8"/>
      <c r="N259" s="8"/>
      <c r="O259" s="8"/>
    </row>
    <row r="260" spans="1:15" x14ac:dyDescent="0.3">
      <c r="A260" s="5"/>
      <c r="B260" s="5"/>
      <c r="C260" s="5"/>
      <c r="D260" s="6"/>
      <c r="E260" s="6"/>
      <c r="F260" s="5"/>
      <c r="G260" s="10"/>
      <c r="H260" s="7"/>
      <c r="I260" s="8"/>
      <c r="J260" s="8"/>
      <c r="K260" s="9"/>
      <c r="L260" s="8"/>
      <c r="M260" s="8"/>
      <c r="N260" s="8"/>
      <c r="O260" s="8"/>
    </row>
    <row r="261" spans="1:15" x14ac:dyDescent="0.3">
      <c r="A261" s="5"/>
      <c r="B261" s="5"/>
      <c r="C261" s="5"/>
      <c r="D261" s="6"/>
      <c r="E261" s="6"/>
      <c r="F261" s="5"/>
      <c r="G261" s="10"/>
      <c r="H261" s="7"/>
      <c r="I261" s="8"/>
      <c r="J261" s="8"/>
      <c r="K261" s="9"/>
      <c r="L261" s="8"/>
      <c r="M261" s="8"/>
      <c r="N261" s="8"/>
      <c r="O261" s="8"/>
    </row>
    <row r="262" spans="1:15" x14ac:dyDescent="0.3">
      <c r="A262" s="5"/>
      <c r="B262" s="5"/>
      <c r="C262" s="5"/>
      <c r="D262" s="6"/>
      <c r="E262" s="6"/>
      <c r="F262" s="5"/>
      <c r="G262" s="10"/>
      <c r="H262" s="7"/>
      <c r="I262" s="8"/>
      <c r="J262" s="8"/>
      <c r="K262" s="9"/>
      <c r="L262" s="8"/>
      <c r="M262" s="8"/>
      <c r="N262" s="8"/>
      <c r="O262" s="8"/>
    </row>
    <row r="263" spans="1:15" x14ac:dyDescent="0.3">
      <c r="A263" s="5"/>
      <c r="B263" s="5"/>
      <c r="C263" s="5"/>
      <c r="D263" s="6"/>
      <c r="E263" s="6"/>
      <c r="F263" s="5"/>
      <c r="G263" s="10"/>
      <c r="H263" s="7"/>
      <c r="I263" s="8"/>
      <c r="J263" s="8"/>
      <c r="K263" s="9"/>
      <c r="L263" s="8"/>
      <c r="M263" s="8"/>
      <c r="N263" s="8"/>
      <c r="O263" s="8"/>
    </row>
    <row r="264" spans="1:15" x14ac:dyDescent="0.3">
      <c r="A264" s="5"/>
      <c r="B264" s="5"/>
      <c r="C264" s="5"/>
      <c r="D264" s="6"/>
      <c r="E264" s="6"/>
      <c r="F264" s="5"/>
      <c r="G264" s="10"/>
      <c r="H264" s="7"/>
      <c r="I264" s="8"/>
      <c r="J264" s="8"/>
      <c r="K264" s="9"/>
      <c r="L264" s="8"/>
      <c r="M264" s="8"/>
      <c r="N264" s="8"/>
      <c r="O264" s="8"/>
    </row>
    <row r="265" spans="1:15" x14ac:dyDescent="0.3">
      <c r="A265" s="5"/>
      <c r="B265" s="5"/>
      <c r="C265" s="5"/>
      <c r="D265" s="6"/>
      <c r="E265" s="6"/>
      <c r="F265" s="5"/>
      <c r="G265" s="10"/>
      <c r="H265" s="7"/>
      <c r="I265" s="8"/>
      <c r="J265" s="8"/>
      <c r="K265" s="9"/>
      <c r="L265" s="8"/>
      <c r="M265" s="8"/>
      <c r="N265" s="8"/>
      <c r="O265" s="8"/>
    </row>
    <row r="266" spans="1:15" x14ac:dyDescent="0.3">
      <c r="A266" s="5"/>
      <c r="B266" s="5"/>
      <c r="C266" s="5"/>
      <c r="D266" s="6"/>
      <c r="E266" s="6"/>
      <c r="F266" s="5"/>
      <c r="G266" s="10"/>
      <c r="H266" s="7"/>
      <c r="I266" s="8"/>
      <c r="J266" s="8"/>
      <c r="K266" s="9"/>
      <c r="L266" s="8"/>
      <c r="M266" s="8"/>
      <c r="N266" s="8"/>
      <c r="O266" s="8"/>
    </row>
    <row r="267" spans="1:15" x14ac:dyDescent="0.3">
      <c r="A267" s="5"/>
      <c r="B267" s="5"/>
      <c r="C267" s="5"/>
      <c r="D267" s="6"/>
      <c r="E267" s="6"/>
      <c r="F267" s="5"/>
      <c r="G267" s="10"/>
      <c r="H267" s="7"/>
      <c r="I267" s="8"/>
      <c r="J267" s="8"/>
      <c r="K267" s="9"/>
      <c r="L267" s="8"/>
      <c r="M267" s="8"/>
      <c r="N267" s="8"/>
      <c r="O267" s="8"/>
    </row>
    <row r="268" spans="1:15" x14ac:dyDescent="0.3">
      <c r="A268" s="5"/>
      <c r="B268" s="5"/>
      <c r="C268" s="5"/>
      <c r="D268" s="6"/>
      <c r="E268" s="6"/>
      <c r="F268" s="5"/>
      <c r="G268" s="10"/>
      <c r="H268" s="7"/>
      <c r="I268" s="8"/>
      <c r="J268" s="8"/>
      <c r="K268" s="9"/>
      <c r="L268" s="8"/>
      <c r="M268" s="8"/>
      <c r="N268" s="8"/>
      <c r="O268" s="8"/>
    </row>
    <row r="269" spans="1:15" x14ac:dyDescent="0.3">
      <c r="A269" s="5"/>
      <c r="B269" s="5"/>
      <c r="C269" s="5"/>
      <c r="D269" s="6"/>
      <c r="E269" s="6"/>
      <c r="F269" s="5"/>
      <c r="G269" s="10"/>
      <c r="H269" s="7"/>
      <c r="I269" s="8"/>
      <c r="J269" s="8"/>
      <c r="K269" s="9"/>
      <c r="L269" s="8"/>
      <c r="M269" s="8"/>
      <c r="N269" s="8"/>
      <c r="O269" s="8"/>
    </row>
    <row r="270" spans="1:15" x14ac:dyDescent="0.3">
      <c r="A270" s="5"/>
      <c r="B270" s="5"/>
      <c r="C270" s="5"/>
      <c r="D270" s="6"/>
      <c r="E270" s="6"/>
      <c r="F270" s="5"/>
      <c r="G270" s="10"/>
      <c r="H270" s="7"/>
      <c r="I270" s="8"/>
      <c r="J270" s="8"/>
      <c r="K270" s="9"/>
      <c r="L270" s="8"/>
      <c r="M270" s="8"/>
      <c r="N270" s="8"/>
      <c r="O270" s="8"/>
    </row>
    <row r="271" spans="1:15" x14ac:dyDescent="0.3">
      <c r="A271" s="5"/>
      <c r="B271" s="5"/>
      <c r="C271" s="5"/>
      <c r="D271" s="6"/>
      <c r="E271" s="6"/>
      <c r="F271" s="5"/>
      <c r="G271" s="10"/>
      <c r="H271" s="7"/>
      <c r="I271" s="8"/>
      <c r="J271" s="8"/>
      <c r="K271" s="9"/>
      <c r="L271" s="8"/>
      <c r="M271" s="8"/>
      <c r="N271" s="8"/>
      <c r="O271" s="8"/>
    </row>
    <row r="272" spans="1:15" x14ac:dyDescent="0.3">
      <c r="A272" s="5"/>
      <c r="B272" s="5"/>
      <c r="C272" s="5"/>
      <c r="D272" s="6"/>
      <c r="E272" s="6"/>
      <c r="F272" s="5"/>
      <c r="G272" s="10"/>
      <c r="H272" s="7"/>
      <c r="I272" s="8"/>
      <c r="J272" s="8"/>
      <c r="K272" s="9"/>
      <c r="L272" s="8"/>
      <c r="M272" s="8"/>
      <c r="N272" s="8"/>
      <c r="O272" s="8"/>
    </row>
    <row r="273" spans="1:15" x14ac:dyDescent="0.3">
      <c r="A273" s="5"/>
      <c r="B273" s="5"/>
      <c r="C273" s="5"/>
      <c r="D273" s="6"/>
      <c r="E273" s="6"/>
      <c r="F273" s="5"/>
      <c r="G273" s="10"/>
      <c r="H273" s="7"/>
      <c r="I273" s="8"/>
      <c r="J273" s="8"/>
      <c r="K273" s="9"/>
      <c r="L273" s="8"/>
      <c r="M273" s="8"/>
      <c r="N273" s="8"/>
      <c r="O273" s="8"/>
    </row>
    <row r="274" spans="1:15" x14ac:dyDescent="0.3">
      <c r="A274" s="5"/>
      <c r="B274" s="5"/>
      <c r="C274" s="5"/>
      <c r="D274" s="6"/>
      <c r="E274" s="6"/>
      <c r="F274" s="5"/>
      <c r="G274" s="10"/>
      <c r="H274" s="7"/>
      <c r="I274" s="8"/>
      <c r="J274" s="8"/>
      <c r="K274" s="9"/>
      <c r="L274" s="8"/>
      <c r="M274" s="8"/>
      <c r="N274" s="8"/>
      <c r="O274" s="8"/>
    </row>
    <row r="275" spans="1:15" x14ac:dyDescent="0.3">
      <c r="A275" s="5"/>
      <c r="B275" s="5"/>
      <c r="C275" s="5"/>
      <c r="D275" s="6"/>
      <c r="E275" s="6"/>
      <c r="F275" s="5"/>
      <c r="G275" s="10"/>
      <c r="H275" s="7"/>
      <c r="I275" s="8"/>
      <c r="J275" s="8"/>
      <c r="K275" s="9"/>
      <c r="L275" s="8"/>
      <c r="M275" s="8"/>
      <c r="N275" s="8"/>
      <c r="O275" s="8"/>
    </row>
    <row r="276" spans="1:15" x14ac:dyDescent="0.3">
      <c r="A276" s="5"/>
      <c r="B276" s="5"/>
      <c r="C276" s="5"/>
      <c r="D276" s="6"/>
      <c r="E276" s="6"/>
      <c r="F276" s="5"/>
      <c r="G276" s="10"/>
      <c r="H276" s="7"/>
      <c r="I276" s="8"/>
      <c r="J276" s="8"/>
      <c r="K276" s="9"/>
      <c r="L276" s="8"/>
      <c r="M276" s="8"/>
      <c r="N276" s="8"/>
      <c r="O276" s="8"/>
    </row>
    <row r="277" spans="1:15" x14ac:dyDescent="0.3">
      <c r="A277" s="5"/>
      <c r="B277" s="5"/>
      <c r="C277" s="5"/>
      <c r="D277" s="6"/>
      <c r="E277" s="6"/>
      <c r="F277" s="5"/>
      <c r="G277" s="10"/>
      <c r="H277" s="7"/>
      <c r="I277" s="8"/>
      <c r="J277" s="8"/>
      <c r="K277" s="9"/>
      <c r="L277" s="8"/>
      <c r="M277" s="8"/>
      <c r="N277" s="8"/>
      <c r="O277" s="8"/>
    </row>
    <row r="278" spans="1:15" x14ac:dyDescent="0.3">
      <c r="A278" s="5"/>
      <c r="B278" s="5"/>
      <c r="C278" s="5"/>
      <c r="D278" s="6"/>
      <c r="E278" s="6"/>
      <c r="F278" s="5"/>
      <c r="G278" s="10"/>
      <c r="H278" s="7"/>
      <c r="I278" s="8"/>
      <c r="J278" s="8"/>
      <c r="K278" s="9"/>
      <c r="L278" s="8"/>
      <c r="M278" s="8"/>
      <c r="N278" s="8"/>
      <c r="O278" s="8"/>
    </row>
    <row r="279" spans="1:15" x14ac:dyDescent="0.3">
      <c r="A279" s="5"/>
      <c r="B279" s="5"/>
      <c r="C279" s="5"/>
      <c r="D279" s="6"/>
      <c r="E279" s="6"/>
      <c r="F279" s="5"/>
      <c r="G279" s="10"/>
      <c r="H279" s="7"/>
      <c r="I279" s="8"/>
      <c r="J279" s="8"/>
      <c r="K279" s="9"/>
      <c r="L279" s="8"/>
      <c r="M279" s="8"/>
      <c r="N279" s="8"/>
      <c r="O279" s="8"/>
    </row>
    <row r="280" spans="1:15" x14ac:dyDescent="0.3">
      <c r="A280" s="5"/>
      <c r="B280" s="5"/>
      <c r="C280" s="5"/>
      <c r="D280" s="6"/>
      <c r="E280" s="6"/>
      <c r="F280" s="5"/>
      <c r="G280" s="10"/>
      <c r="H280" s="7"/>
      <c r="I280" s="8"/>
      <c r="J280" s="8"/>
      <c r="K280" s="9"/>
      <c r="L280" s="8"/>
      <c r="M280" s="8"/>
      <c r="N280" s="8"/>
      <c r="O280" s="8"/>
    </row>
    <row r="281" spans="1:15" x14ac:dyDescent="0.3">
      <c r="A281" s="5"/>
      <c r="B281" s="5"/>
      <c r="C281" s="5"/>
      <c r="D281" s="6"/>
      <c r="E281" s="6"/>
      <c r="F281" s="5"/>
      <c r="G281" s="10"/>
      <c r="H281" s="7"/>
      <c r="I281" s="8"/>
      <c r="J281" s="8"/>
      <c r="K281" s="9"/>
      <c r="L281" s="8"/>
      <c r="M281" s="8"/>
      <c r="N281" s="8"/>
      <c r="O281" s="8"/>
    </row>
    <row r="282" spans="1:15" x14ac:dyDescent="0.3">
      <c r="A282" s="5"/>
      <c r="B282" s="5"/>
      <c r="C282" s="5"/>
      <c r="D282" s="6"/>
      <c r="E282" s="6"/>
      <c r="F282" s="5"/>
      <c r="G282" s="10"/>
      <c r="H282" s="7"/>
      <c r="I282" s="8"/>
      <c r="J282" s="8"/>
      <c r="K282" s="9"/>
      <c r="L282" s="8"/>
      <c r="M282" s="8"/>
      <c r="N282" s="8"/>
      <c r="O282" s="8"/>
    </row>
    <row r="283" spans="1:15" x14ac:dyDescent="0.3">
      <c r="A283" s="5"/>
      <c r="B283" s="5"/>
      <c r="C283" s="5"/>
      <c r="D283" s="6"/>
      <c r="E283" s="6"/>
      <c r="F283" s="5"/>
      <c r="G283" s="10"/>
      <c r="H283" s="7"/>
      <c r="I283" s="8"/>
      <c r="J283" s="8"/>
      <c r="K283" s="9"/>
      <c r="L283" s="8"/>
      <c r="M283" s="8"/>
      <c r="N283" s="8"/>
      <c r="O283" s="8"/>
    </row>
    <row r="284" spans="1:15" x14ac:dyDescent="0.3">
      <c r="A284" s="5"/>
      <c r="B284" s="5"/>
      <c r="C284" s="5"/>
      <c r="D284" s="6"/>
      <c r="E284" s="6"/>
      <c r="F284" s="5"/>
      <c r="G284" s="10"/>
      <c r="H284" s="7"/>
      <c r="I284" s="8"/>
      <c r="J284" s="8"/>
      <c r="K284" s="9"/>
      <c r="L284" s="8"/>
      <c r="M284" s="8"/>
      <c r="N284" s="8"/>
      <c r="O284" s="8"/>
    </row>
    <row r="285" spans="1:15" x14ac:dyDescent="0.3">
      <c r="A285" s="5"/>
      <c r="B285" s="5"/>
      <c r="C285" s="5"/>
      <c r="D285" s="6"/>
      <c r="E285" s="6"/>
      <c r="F285" s="5"/>
      <c r="G285" s="10"/>
      <c r="H285" s="7"/>
      <c r="I285" s="8"/>
      <c r="J285" s="8"/>
      <c r="K285" s="9"/>
      <c r="L285" s="8"/>
      <c r="M285" s="8"/>
      <c r="N285" s="8"/>
      <c r="O285" s="8"/>
    </row>
    <row r="286" spans="1:15" x14ac:dyDescent="0.3">
      <c r="A286" s="5"/>
      <c r="B286" s="5"/>
      <c r="C286" s="5"/>
      <c r="D286" s="6"/>
      <c r="E286" s="6"/>
      <c r="F286" s="5"/>
      <c r="G286" s="10"/>
      <c r="H286" s="7"/>
      <c r="I286" s="8"/>
      <c r="J286" s="8"/>
      <c r="K286" s="9"/>
      <c r="L286" s="8"/>
      <c r="M286" s="8"/>
      <c r="N286" s="8"/>
      <c r="O286" s="8"/>
    </row>
    <row r="287" spans="1:15" x14ac:dyDescent="0.3">
      <c r="A287" s="5"/>
      <c r="B287" s="5"/>
      <c r="C287" s="5"/>
      <c r="D287" s="6"/>
      <c r="E287" s="6"/>
      <c r="F287" s="5"/>
      <c r="G287" s="10"/>
      <c r="H287" s="7"/>
      <c r="I287" s="8"/>
      <c r="J287" s="8"/>
      <c r="K287" s="9"/>
      <c r="L287" s="8"/>
      <c r="M287" s="8"/>
      <c r="N287" s="8"/>
      <c r="O287" s="8"/>
    </row>
    <row r="288" spans="1:15" x14ac:dyDescent="0.3">
      <c r="A288" s="5"/>
      <c r="B288" s="5"/>
      <c r="C288" s="5"/>
      <c r="D288" s="6"/>
      <c r="E288" s="6"/>
      <c r="F288" s="5"/>
      <c r="G288" s="10"/>
      <c r="H288" s="7"/>
      <c r="I288" s="8"/>
      <c r="J288" s="8"/>
      <c r="K288" s="9"/>
      <c r="L288" s="8"/>
      <c r="M288" s="8"/>
      <c r="N288" s="8"/>
      <c r="O288" s="8"/>
    </row>
    <row r="289" spans="1:15" x14ac:dyDescent="0.3">
      <c r="A289" s="5"/>
      <c r="B289" s="5"/>
      <c r="C289" s="5"/>
      <c r="D289" s="6"/>
      <c r="E289" s="6"/>
      <c r="F289" s="5"/>
      <c r="G289" s="10"/>
      <c r="H289" s="7"/>
      <c r="I289" s="8"/>
      <c r="J289" s="8"/>
      <c r="K289" s="9"/>
      <c r="L289" s="8"/>
      <c r="M289" s="8"/>
      <c r="N289" s="8"/>
      <c r="O289" s="8"/>
    </row>
    <row r="290" spans="1:15" x14ac:dyDescent="0.3">
      <c r="A290" s="5"/>
      <c r="B290" s="5"/>
      <c r="C290" s="5"/>
      <c r="D290" s="6"/>
      <c r="E290" s="6"/>
      <c r="F290" s="5"/>
      <c r="G290" s="10"/>
      <c r="H290" s="7"/>
      <c r="I290" s="8"/>
      <c r="J290" s="8"/>
      <c r="K290" s="9"/>
      <c r="L290" s="8"/>
      <c r="M290" s="8"/>
      <c r="N290" s="8"/>
      <c r="O290" s="8"/>
    </row>
    <row r="291" spans="1:15" x14ac:dyDescent="0.3">
      <c r="A291" s="5"/>
      <c r="B291" s="5"/>
      <c r="C291" s="5"/>
      <c r="D291" s="6"/>
      <c r="E291" s="6"/>
      <c r="F291" s="5"/>
      <c r="G291" s="10"/>
      <c r="H291" s="7"/>
      <c r="I291" s="8"/>
      <c r="J291" s="8"/>
      <c r="K291" s="9"/>
      <c r="L291" s="8"/>
      <c r="M291" s="8"/>
      <c r="N291" s="8"/>
      <c r="O291" s="8"/>
    </row>
    <row r="292" spans="1:15" x14ac:dyDescent="0.3">
      <c r="A292" s="5"/>
      <c r="B292" s="5"/>
      <c r="C292" s="5"/>
      <c r="D292" s="6"/>
      <c r="E292" s="6"/>
      <c r="F292" s="5"/>
      <c r="G292" s="10"/>
      <c r="H292" s="7"/>
      <c r="I292" s="8"/>
      <c r="J292" s="8"/>
      <c r="K292" s="9"/>
      <c r="L292" s="8"/>
      <c r="M292" s="8"/>
      <c r="N292" s="8"/>
      <c r="O292" s="8"/>
    </row>
    <row r="293" spans="1:15" x14ac:dyDescent="0.3">
      <c r="A293" s="5"/>
      <c r="B293" s="5"/>
      <c r="C293" s="5"/>
      <c r="D293" s="6"/>
      <c r="E293" s="6"/>
      <c r="F293" s="5"/>
      <c r="G293" s="10"/>
      <c r="H293" s="7"/>
      <c r="I293" s="8"/>
      <c r="J293" s="8"/>
      <c r="K293" s="9"/>
      <c r="L293" s="8"/>
      <c r="M293" s="8"/>
      <c r="N293" s="8"/>
      <c r="O293" s="8"/>
    </row>
    <row r="294" spans="1:15" x14ac:dyDescent="0.3">
      <c r="A294" s="5"/>
      <c r="B294" s="5"/>
      <c r="C294" s="5"/>
      <c r="D294" s="6"/>
      <c r="E294" s="6"/>
      <c r="F294" s="5"/>
      <c r="G294" s="10"/>
      <c r="H294" s="7"/>
      <c r="I294" s="8"/>
      <c r="J294" s="8"/>
      <c r="K294" s="9"/>
      <c r="L294" s="8"/>
      <c r="M294" s="8"/>
      <c r="N294" s="8"/>
      <c r="O294" s="8"/>
    </row>
    <row r="295" spans="1:15" x14ac:dyDescent="0.3">
      <c r="A295" s="5"/>
      <c r="B295" s="5"/>
      <c r="C295" s="5"/>
      <c r="D295" s="6"/>
      <c r="E295" s="6"/>
      <c r="F295" s="5"/>
      <c r="G295" s="10"/>
      <c r="H295" s="7"/>
      <c r="I295" s="8"/>
      <c r="J295" s="8"/>
      <c r="K295" s="9"/>
      <c r="L295" s="8"/>
      <c r="M295" s="8"/>
      <c r="N295" s="8"/>
      <c r="O295" s="8"/>
    </row>
    <row r="296" spans="1:15" x14ac:dyDescent="0.3">
      <c r="A296" s="5"/>
      <c r="B296" s="5"/>
      <c r="C296" s="5"/>
      <c r="D296" s="6"/>
      <c r="E296" s="6"/>
      <c r="F296" s="5"/>
      <c r="G296" s="10"/>
      <c r="H296" s="7"/>
      <c r="I296" s="8"/>
      <c r="J296" s="8"/>
      <c r="K296" s="9"/>
      <c r="L296" s="8"/>
      <c r="M296" s="8"/>
      <c r="N296" s="8"/>
      <c r="O296" s="8"/>
    </row>
    <row r="297" spans="1:15" x14ac:dyDescent="0.3">
      <c r="A297" s="5"/>
      <c r="B297" s="5"/>
      <c r="C297" s="5"/>
      <c r="D297" s="6"/>
      <c r="E297" s="6"/>
      <c r="F297" s="5"/>
      <c r="G297" s="10"/>
      <c r="H297" s="7"/>
      <c r="I297" s="8"/>
      <c r="J297" s="8"/>
      <c r="K297" s="9"/>
      <c r="L297" s="8"/>
      <c r="M297" s="8"/>
      <c r="N297" s="8"/>
      <c r="O297" s="8"/>
    </row>
    <row r="298" spans="1:15" x14ac:dyDescent="0.3">
      <c r="A298" s="5"/>
      <c r="B298" s="5"/>
      <c r="C298" s="5"/>
      <c r="D298" s="6"/>
      <c r="E298" s="6"/>
      <c r="F298" s="5"/>
      <c r="G298" s="10"/>
      <c r="H298" s="7"/>
      <c r="I298" s="8"/>
      <c r="J298" s="8"/>
      <c r="K298" s="9"/>
      <c r="L298" s="8"/>
      <c r="M298" s="8"/>
      <c r="N298" s="8"/>
      <c r="O298" s="8"/>
    </row>
    <row r="299" spans="1:15" x14ac:dyDescent="0.3">
      <c r="A299" s="5"/>
      <c r="B299" s="5"/>
      <c r="C299" s="5"/>
      <c r="D299" s="6"/>
      <c r="E299" s="6"/>
      <c r="F299" s="5"/>
      <c r="G299" s="10"/>
      <c r="H299" s="7"/>
      <c r="I299" s="8"/>
      <c r="J299" s="8"/>
      <c r="K299" s="9"/>
      <c r="L299" s="8"/>
      <c r="M299" s="8"/>
      <c r="N299" s="8"/>
      <c r="O299" s="8"/>
    </row>
    <row r="300" spans="1:15" x14ac:dyDescent="0.3">
      <c r="A300" s="5"/>
      <c r="B300" s="5"/>
      <c r="C300" s="5"/>
      <c r="D300" s="6"/>
      <c r="E300" s="6"/>
      <c r="F300" s="5"/>
      <c r="G300" s="10"/>
      <c r="H300" s="7"/>
      <c r="I300" s="8"/>
      <c r="J300" s="8"/>
      <c r="K300" s="9"/>
      <c r="L300" s="8"/>
      <c r="M300" s="8"/>
      <c r="N300" s="8"/>
      <c r="O300" s="8"/>
    </row>
    <row r="301" spans="1:15" x14ac:dyDescent="0.3">
      <c r="A301" s="5"/>
      <c r="B301" s="5"/>
      <c r="C301" s="5"/>
      <c r="D301" s="6"/>
      <c r="E301" s="6"/>
      <c r="F301" s="5"/>
      <c r="G301" s="10"/>
      <c r="H301" s="7"/>
      <c r="I301" s="8"/>
      <c r="J301" s="8"/>
      <c r="K301" s="9"/>
      <c r="L301" s="8"/>
      <c r="M301" s="8"/>
      <c r="N301" s="8"/>
      <c r="O301" s="8"/>
    </row>
    <row r="302" spans="1:15" x14ac:dyDescent="0.3">
      <c r="A302" s="5"/>
      <c r="B302" s="5"/>
      <c r="C302" s="5"/>
      <c r="D302" s="6"/>
      <c r="E302" s="6"/>
      <c r="F302" s="5"/>
      <c r="G302" s="10"/>
      <c r="H302" s="7"/>
      <c r="I302" s="8"/>
      <c r="J302" s="8"/>
      <c r="K302" s="9"/>
      <c r="L302" s="8"/>
      <c r="M302" s="8"/>
      <c r="N302" s="8"/>
      <c r="O302" s="8"/>
    </row>
    <row r="303" spans="1:15" x14ac:dyDescent="0.3">
      <c r="A303" s="5"/>
      <c r="B303" s="5"/>
      <c r="C303" s="5"/>
      <c r="D303" s="6"/>
      <c r="E303" s="6"/>
      <c r="F303" s="5"/>
      <c r="G303" s="10"/>
      <c r="H303" s="7"/>
      <c r="I303" s="8"/>
      <c r="J303" s="8"/>
      <c r="K303" s="9"/>
      <c r="L303" s="8"/>
      <c r="M303" s="8"/>
      <c r="N303" s="8"/>
      <c r="O303" s="8"/>
    </row>
    <row r="304" spans="1:15" x14ac:dyDescent="0.3">
      <c r="A304" s="5"/>
      <c r="B304" s="5"/>
      <c r="C304" s="5"/>
      <c r="D304" s="6"/>
      <c r="E304" s="6"/>
      <c r="F304" s="5"/>
      <c r="G304" s="10"/>
      <c r="H304" s="7"/>
      <c r="I304" s="8"/>
      <c r="J304" s="8"/>
      <c r="K304" s="9"/>
      <c r="L304" s="8"/>
      <c r="M304" s="8"/>
      <c r="N304" s="8"/>
      <c r="O304" s="8"/>
    </row>
    <row r="305" spans="1:15" x14ac:dyDescent="0.3">
      <c r="A305" s="5"/>
      <c r="B305" s="5"/>
      <c r="C305" s="5"/>
      <c r="D305" s="6"/>
      <c r="E305" s="6"/>
      <c r="F305" s="5"/>
      <c r="G305" s="10"/>
      <c r="H305" s="7"/>
      <c r="I305" s="8"/>
      <c r="J305" s="8"/>
      <c r="K305" s="9"/>
      <c r="L305" s="8"/>
      <c r="M305" s="8"/>
      <c r="N305" s="8"/>
      <c r="O305" s="8"/>
    </row>
    <row r="306" spans="1:15" x14ac:dyDescent="0.3">
      <c r="A306" s="5"/>
      <c r="B306" s="5"/>
      <c r="C306" s="5"/>
      <c r="D306" s="6"/>
      <c r="E306" s="6"/>
      <c r="F306" s="5"/>
      <c r="G306" s="10"/>
      <c r="H306" s="7"/>
      <c r="I306" s="8"/>
      <c r="J306" s="8"/>
      <c r="K306" s="9"/>
      <c r="L306" s="8"/>
      <c r="M306" s="8"/>
      <c r="N306" s="8"/>
      <c r="O306" s="8"/>
    </row>
    <row r="307" spans="1:15" x14ac:dyDescent="0.3">
      <c r="A307" s="5"/>
      <c r="B307" s="5"/>
      <c r="C307" s="5"/>
      <c r="D307" s="6"/>
      <c r="E307" s="6"/>
      <c r="F307" s="5"/>
      <c r="G307" s="10"/>
      <c r="H307" s="7"/>
      <c r="I307" s="8"/>
      <c r="J307" s="8"/>
      <c r="K307" s="9"/>
      <c r="L307" s="8"/>
      <c r="M307" s="8"/>
      <c r="N307" s="8"/>
      <c r="O307" s="8"/>
    </row>
    <row r="308" spans="1:15" x14ac:dyDescent="0.3">
      <c r="A308" s="5"/>
      <c r="B308" s="5"/>
      <c r="C308" s="5"/>
      <c r="D308" s="6"/>
      <c r="E308" s="6"/>
      <c r="F308" s="5"/>
      <c r="G308" s="10"/>
      <c r="H308" s="7"/>
      <c r="I308" s="8"/>
      <c r="J308" s="8"/>
      <c r="K308" s="9"/>
      <c r="L308" s="8"/>
      <c r="M308" s="8"/>
      <c r="N308" s="8"/>
      <c r="O308" s="8"/>
    </row>
    <row r="309" spans="1:15" x14ac:dyDescent="0.3">
      <c r="A309" s="5"/>
      <c r="B309" s="5"/>
      <c r="C309" s="5"/>
      <c r="D309" s="6"/>
      <c r="E309" s="6"/>
      <c r="F309" s="5"/>
      <c r="G309" s="10"/>
      <c r="H309" s="7"/>
      <c r="I309" s="8"/>
      <c r="J309" s="8"/>
      <c r="K309" s="9"/>
      <c r="L309" s="8"/>
      <c r="M309" s="8"/>
      <c r="N309" s="8"/>
      <c r="O309" s="8"/>
    </row>
    <row r="310" spans="1:15" x14ac:dyDescent="0.3">
      <c r="A310" s="5"/>
      <c r="B310" s="5"/>
      <c r="C310" s="5"/>
      <c r="D310" s="6"/>
      <c r="E310" s="6"/>
      <c r="F310" s="5"/>
      <c r="G310" s="10"/>
      <c r="H310" s="7"/>
      <c r="I310" s="8"/>
      <c r="J310" s="8"/>
      <c r="K310" s="9"/>
      <c r="L310" s="8"/>
      <c r="M310" s="8"/>
      <c r="N310" s="8"/>
      <c r="O310" s="8"/>
    </row>
    <row r="311" spans="1:15" x14ac:dyDescent="0.3">
      <c r="A311" s="5"/>
      <c r="B311" s="5"/>
      <c r="C311" s="5"/>
      <c r="D311" s="6"/>
      <c r="E311" s="6"/>
      <c r="F311" s="5"/>
      <c r="G311" s="10"/>
      <c r="H311" s="7"/>
      <c r="I311" s="8"/>
      <c r="J311" s="8"/>
      <c r="K311" s="9"/>
      <c r="L311" s="8"/>
      <c r="M311" s="8"/>
      <c r="N311" s="8"/>
      <c r="O311" s="8"/>
    </row>
    <row r="312" spans="1:15" x14ac:dyDescent="0.3">
      <c r="A312" s="5"/>
      <c r="B312" s="5"/>
      <c r="C312" s="5"/>
      <c r="D312" s="6"/>
      <c r="E312" s="6"/>
      <c r="F312" s="5"/>
      <c r="G312" s="10"/>
      <c r="H312" s="7"/>
      <c r="I312" s="8"/>
      <c r="J312" s="8"/>
      <c r="K312" s="9"/>
      <c r="L312" s="8"/>
      <c r="M312" s="8"/>
      <c r="N312" s="8"/>
      <c r="O312" s="8"/>
    </row>
    <row r="313" spans="1:15" x14ac:dyDescent="0.3">
      <c r="A313" s="5"/>
      <c r="B313" s="5"/>
      <c r="C313" s="5"/>
      <c r="D313" s="6"/>
      <c r="E313" s="6"/>
      <c r="F313" s="5"/>
      <c r="G313" s="10"/>
      <c r="H313" s="7"/>
      <c r="I313" s="8"/>
      <c r="J313" s="8"/>
      <c r="K313" s="9"/>
      <c r="L313" s="8"/>
      <c r="M313" s="8"/>
      <c r="N313" s="8"/>
      <c r="O313" s="8"/>
    </row>
    <row r="314" spans="1:15" x14ac:dyDescent="0.3">
      <c r="A314" s="5"/>
      <c r="B314" s="5"/>
      <c r="C314" s="5"/>
      <c r="D314" s="6"/>
      <c r="E314" s="6"/>
      <c r="F314" s="5"/>
      <c r="G314" s="10"/>
      <c r="H314" s="7"/>
      <c r="I314" s="8"/>
      <c r="J314" s="8"/>
      <c r="K314" s="9"/>
      <c r="L314" s="8"/>
      <c r="M314" s="8"/>
      <c r="N314" s="8"/>
      <c r="O314" s="8"/>
    </row>
    <row r="315" spans="1:15" x14ac:dyDescent="0.3">
      <c r="A315" s="5"/>
      <c r="B315" s="5"/>
      <c r="C315" s="5"/>
      <c r="D315" s="6"/>
      <c r="E315" s="6"/>
      <c r="F315" s="5"/>
      <c r="G315" s="10"/>
      <c r="H315" s="7"/>
      <c r="I315" s="8"/>
      <c r="J315" s="8"/>
      <c r="K315" s="9"/>
      <c r="L315" s="8"/>
      <c r="M315" s="8"/>
      <c r="N315" s="8"/>
      <c r="O315" s="8"/>
    </row>
    <row r="316" spans="1:15" x14ac:dyDescent="0.3">
      <c r="A316" s="5"/>
      <c r="B316" s="5"/>
      <c r="C316" s="5"/>
      <c r="D316" s="6"/>
      <c r="E316" s="6"/>
      <c r="F316" s="5"/>
      <c r="G316" s="10"/>
      <c r="H316" s="7"/>
      <c r="I316" s="8"/>
      <c r="J316" s="8"/>
      <c r="K316" s="9"/>
      <c r="L316" s="8"/>
      <c r="M316" s="8"/>
      <c r="N316" s="8"/>
      <c r="O316" s="8"/>
    </row>
    <row r="317" spans="1:15" x14ac:dyDescent="0.3">
      <c r="A317" s="5"/>
      <c r="B317" s="5"/>
      <c r="C317" s="5"/>
      <c r="D317" s="6"/>
      <c r="E317" s="6"/>
      <c r="F317" s="5"/>
      <c r="G317" s="10"/>
      <c r="H317" s="7"/>
      <c r="I317" s="8"/>
      <c r="J317" s="8"/>
      <c r="K317" s="9"/>
      <c r="L317" s="8"/>
      <c r="M317" s="8"/>
      <c r="N317" s="8"/>
      <c r="O317" s="8"/>
    </row>
    <row r="318" spans="1:15" x14ac:dyDescent="0.3">
      <c r="A318" s="5"/>
      <c r="B318" s="5"/>
      <c r="C318" s="5"/>
      <c r="D318" s="6"/>
      <c r="E318" s="6"/>
      <c r="F318" s="5"/>
      <c r="G318" s="10"/>
      <c r="H318" s="7"/>
      <c r="I318" s="8"/>
      <c r="J318" s="8"/>
      <c r="K318" s="9"/>
      <c r="L318" s="8"/>
      <c r="M318" s="8"/>
      <c r="N318" s="8"/>
      <c r="O318" s="8"/>
    </row>
    <row r="319" spans="1:15" x14ac:dyDescent="0.3">
      <c r="A319" s="5"/>
      <c r="B319" s="5"/>
      <c r="C319" s="5"/>
      <c r="D319" s="6"/>
      <c r="E319" s="6"/>
      <c r="F319" s="5"/>
      <c r="G319" s="10"/>
      <c r="H319" s="7"/>
      <c r="I319" s="8"/>
      <c r="J319" s="8"/>
      <c r="K319" s="9"/>
      <c r="L319" s="8"/>
      <c r="M319" s="8"/>
      <c r="N319" s="8"/>
      <c r="O319" s="8"/>
    </row>
    <row r="320" spans="1:15" x14ac:dyDescent="0.3">
      <c r="A320" s="5"/>
      <c r="B320" s="5"/>
      <c r="C320" s="5"/>
      <c r="D320" s="6"/>
      <c r="E320" s="6"/>
      <c r="F320" s="5"/>
      <c r="G320" s="10"/>
      <c r="H320" s="7"/>
      <c r="I320" s="8"/>
      <c r="J320" s="8"/>
      <c r="K320" s="9"/>
      <c r="L320" s="8"/>
      <c r="M320" s="8"/>
      <c r="N320" s="8"/>
      <c r="O320" s="8"/>
    </row>
    <row r="321" spans="1:15" x14ac:dyDescent="0.3">
      <c r="A321" s="5"/>
      <c r="B321" s="5"/>
      <c r="C321" s="5"/>
      <c r="D321" s="6"/>
      <c r="E321" s="6"/>
      <c r="F321" s="5"/>
      <c r="G321" s="10"/>
      <c r="H321" s="7"/>
      <c r="I321" s="8"/>
      <c r="J321" s="8"/>
      <c r="K321" s="9"/>
      <c r="L321" s="8"/>
      <c r="M321" s="8"/>
      <c r="N321" s="8"/>
      <c r="O321" s="8"/>
    </row>
    <row r="322" spans="1:15" x14ac:dyDescent="0.3">
      <c r="A322" s="5"/>
      <c r="B322" s="5"/>
      <c r="C322" s="5"/>
      <c r="D322" s="6"/>
      <c r="E322" s="6"/>
      <c r="F322" s="5"/>
      <c r="G322" s="10"/>
      <c r="H322" s="7"/>
      <c r="I322" s="8"/>
      <c r="J322" s="8"/>
      <c r="K322" s="9"/>
      <c r="L322" s="8"/>
      <c r="M322" s="8"/>
      <c r="N322" s="8"/>
      <c r="O322" s="8"/>
    </row>
    <row r="323" spans="1:15" x14ac:dyDescent="0.3">
      <c r="A323" s="5"/>
      <c r="B323" s="5"/>
      <c r="C323" s="5"/>
      <c r="D323" s="6"/>
      <c r="E323" s="6"/>
      <c r="F323" s="5"/>
      <c r="G323" s="10"/>
      <c r="H323" s="7"/>
      <c r="I323" s="8"/>
      <c r="J323" s="8"/>
      <c r="K323" s="9"/>
      <c r="L323" s="8"/>
      <c r="M323" s="8"/>
      <c r="N323" s="8"/>
      <c r="O323" s="8"/>
    </row>
    <row r="324" spans="1:15" x14ac:dyDescent="0.3">
      <c r="A324" s="5"/>
      <c r="B324" s="5"/>
      <c r="C324" s="5"/>
      <c r="D324" s="6"/>
      <c r="E324" s="6"/>
      <c r="F324" s="5"/>
      <c r="G324" s="10"/>
      <c r="H324" s="7"/>
      <c r="I324" s="8"/>
      <c r="J324" s="8"/>
      <c r="K324" s="9"/>
      <c r="L324" s="8"/>
      <c r="M324" s="8"/>
      <c r="N324" s="8"/>
      <c r="O324" s="8"/>
    </row>
    <row r="325" spans="1:15" x14ac:dyDescent="0.3">
      <c r="A325" s="5"/>
      <c r="B325" s="5"/>
      <c r="C325" s="5"/>
      <c r="D325" s="6"/>
      <c r="E325" s="6"/>
      <c r="F325" s="5"/>
      <c r="G325" s="10"/>
      <c r="H325" s="7"/>
      <c r="I325" s="8"/>
      <c r="J325" s="8"/>
      <c r="K325" s="9"/>
      <c r="L325" s="8"/>
      <c r="M325" s="8"/>
      <c r="N325" s="8"/>
      <c r="O325" s="8"/>
    </row>
    <row r="326" spans="1:15" x14ac:dyDescent="0.3">
      <c r="A326" s="5"/>
      <c r="B326" s="5"/>
      <c r="C326" s="5"/>
      <c r="D326" s="6"/>
      <c r="E326" s="6"/>
      <c r="F326" s="5"/>
      <c r="G326" s="10"/>
      <c r="H326" s="7"/>
      <c r="I326" s="8"/>
      <c r="J326" s="8"/>
      <c r="K326" s="9"/>
      <c r="L326" s="8"/>
      <c r="M326" s="8"/>
      <c r="N326" s="8"/>
      <c r="O326" s="8"/>
    </row>
    <row r="327" spans="1:15" x14ac:dyDescent="0.3">
      <c r="A327" s="5"/>
      <c r="B327" s="5"/>
      <c r="C327" s="5"/>
      <c r="D327" s="6"/>
      <c r="E327" s="6"/>
      <c r="F327" s="5"/>
      <c r="G327" s="10"/>
      <c r="H327" s="7"/>
      <c r="I327" s="8"/>
      <c r="J327" s="8"/>
      <c r="K327" s="9"/>
      <c r="L327" s="8"/>
      <c r="M327" s="8"/>
      <c r="N327" s="8"/>
      <c r="O327" s="8"/>
    </row>
    <row r="328" spans="1:15" x14ac:dyDescent="0.3">
      <c r="A328" s="5"/>
      <c r="B328" s="5"/>
      <c r="C328" s="5"/>
      <c r="D328" s="6"/>
      <c r="E328" s="6"/>
      <c r="F328" s="5"/>
      <c r="G328" s="10"/>
      <c r="H328" s="7"/>
      <c r="I328" s="8"/>
      <c r="J328" s="8"/>
      <c r="K328" s="9"/>
      <c r="L328" s="8"/>
      <c r="M328" s="8"/>
      <c r="N328" s="8"/>
      <c r="O328" s="8"/>
    </row>
    <row r="329" spans="1:15" x14ac:dyDescent="0.3">
      <c r="A329" s="5"/>
      <c r="B329" s="5"/>
      <c r="C329" s="5"/>
      <c r="D329" s="6"/>
      <c r="E329" s="6"/>
      <c r="F329" s="5"/>
      <c r="G329" s="10"/>
      <c r="H329" s="7"/>
      <c r="I329" s="8"/>
      <c r="J329" s="8"/>
      <c r="K329" s="9"/>
      <c r="L329" s="8"/>
      <c r="M329" s="8"/>
      <c r="N329" s="8"/>
      <c r="O329" s="8"/>
    </row>
    <row r="330" spans="1:15" x14ac:dyDescent="0.3">
      <c r="A330" s="5"/>
      <c r="B330" s="5"/>
      <c r="C330" s="5"/>
      <c r="D330" s="6"/>
      <c r="E330" s="6"/>
      <c r="F330" s="5"/>
      <c r="G330" s="10"/>
      <c r="H330" s="7"/>
      <c r="I330" s="8"/>
      <c r="J330" s="8"/>
      <c r="K330" s="9"/>
      <c r="L330" s="8"/>
      <c r="M330" s="8"/>
      <c r="N330" s="8"/>
      <c r="O330" s="8"/>
    </row>
    <row r="331" spans="1:15" x14ac:dyDescent="0.3">
      <c r="A331" s="5"/>
      <c r="B331" s="5"/>
      <c r="C331" s="5"/>
      <c r="D331" s="6"/>
      <c r="E331" s="6"/>
      <c r="F331" s="5"/>
      <c r="G331" s="10"/>
      <c r="H331" s="7"/>
      <c r="I331" s="8"/>
      <c r="J331" s="8"/>
      <c r="K331" s="9"/>
      <c r="L331" s="8"/>
      <c r="M331" s="8"/>
      <c r="N331" s="8"/>
      <c r="O331" s="8"/>
    </row>
    <row r="332" spans="1:15" x14ac:dyDescent="0.3">
      <c r="A332" s="5"/>
      <c r="B332" s="5"/>
      <c r="C332" s="5"/>
      <c r="D332" s="6"/>
      <c r="E332" s="6"/>
      <c r="F332" s="5"/>
      <c r="G332" s="10"/>
      <c r="H332" s="7"/>
      <c r="I332" s="8"/>
      <c r="J332" s="8"/>
      <c r="K332" s="9"/>
      <c r="L332" s="8"/>
      <c r="M332" s="8"/>
      <c r="N332" s="8"/>
      <c r="O332" s="8"/>
    </row>
    <row r="333" spans="1:15" x14ac:dyDescent="0.3">
      <c r="A333" s="5"/>
      <c r="B333" s="5"/>
      <c r="C333" s="5"/>
      <c r="D333" s="6"/>
      <c r="E333" s="6"/>
      <c r="F333" s="5"/>
      <c r="G333" s="10"/>
      <c r="H333" s="7"/>
      <c r="I333" s="8"/>
      <c r="J333" s="8"/>
      <c r="K333" s="9"/>
      <c r="L333" s="8"/>
      <c r="M333" s="8"/>
      <c r="N333" s="8"/>
      <c r="O333" s="8"/>
    </row>
    <row r="334" spans="1:15" x14ac:dyDescent="0.3">
      <c r="A334" s="5"/>
      <c r="B334" s="5"/>
      <c r="C334" s="5"/>
      <c r="D334" s="6"/>
      <c r="E334" s="6"/>
      <c r="F334" s="5"/>
      <c r="G334" s="10"/>
      <c r="H334" s="7"/>
      <c r="I334" s="8"/>
      <c r="J334" s="8"/>
      <c r="K334" s="9"/>
      <c r="L334" s="8"/>
      <c r="M334" s="8"/>
      <c r="N334" s="8"/>
      <c r="O334" s="8"/>
    </row>
    <row r="335" spans="1:15" x14ac:dyDescent="0.3">
      <c r="A335" s="5"/>
      <c r="B335" s="5"/>
      <c r="C335" s="5"/>
      <c r="D335" s="6"/>
      <c r="E335" s="6"/>
      <c r="F335" s="5"/>
      <c r="G335" s="10"/>
      <c r="H335" s="7"/>
      <c r="I335" s="8"/>
      <c r="J335" s="8"/>
      <c r="K335" s="9"/>
      <c r="L335" s="8"/>
      <c r="M335" s="8"/>
      <c r="N335" s="8"/>
      <c r="O335" s="8"/>
    </row>
    <row r="336" spans="1:15" x14ac:dyDescent="0.3">
      <c r="A336" s="5"/>
      <c r="B336" s="5"/>
      <c r="C336" s="5"/>
      <c r="D336" s="6"/>
      <c r="E336" s="6"/>
      <c r="F336" s="5"/>
      <c r="G336" s="10"/>
      <c r="H336" s="7"/>
      <c r="I336" s="8"/>
      <c r="J336" s="8"/>
      <c r="K336" s="9"/>
      <c r="L336" s="8"/>
      <c r="M336" s="8"/>
      <c r="N336" s="8"/>
      <c r="O336" s="8"/>
    </row>
    <row r="337" spans="1:15" x14ac:dyDescent="0.3">
      <c r="A337" s="5"/>
      <c r="B337" s="5"/>
      <c r="C337" s="5"/>
      <c r="D337" s="6"/>
      <c r="E337" s="6"/>
      <c r="F337" s="5"/>
      <c r="G337" s="10"/>
      <c r="H337" s="7"/>
      <c r="I337" s="8"/>
      <c r="J337" s="8"/>
      <c r="K337" s="9"/>
      <c r="L337" s="8"/>
      <c r="M337" s="8"/>
      <c r="N337" s="8"/>
      <c r="O337" s="8"/>
    </row>
    <row r="338" spans="1:15" x14ac:dyDescent="0.3">
      <c r="A338" s="5"/>
      <c r="B338" s="5"/>
      <c r="C338" s="5"/>
      <c r="D338" s="6"/>
      <c r="E338" s="6"/>
      <c r="F338" s="5"/>
      <c r="G338" s="10"/>
      <c r="H338" s="7"/>
      <c r="I338" s="8"/>
      <c r="J338" s="8"/>
      <c r="K338" s="9"/>
      <c r="L338" s="8"/>
      <c r="M338" s="8"/>
      <c r="N338" s="8"/>
      <c r="O338" s="8"/>
    </row>
    <row r="339" spans="1:15" x14ac:dyDescent="0.3">
      <c r="A339" s="5"/>
      <c r="B339" s="5"/>
      <c r="C339" s="5"/>
      <c r="D339" s="6"/>
      <c r="E339" s="6"/>
      <c r="F339" s="5"/>
      <c r="G339" s="10"/>
      <c r="H339" s="7"/>
      <c r="I339" s="8"/>
      <c r="J339" s="8"/>
      <c r="K339" s="9"/>
      <c r="L339" s="8"/>
      <c r="M339" s="8"/>
      <c r="N339" s="8"/>
      <c r="O339" s="8"/>
    </row>
    <row r="340" spans="1:15" x14ac:dyDescent="0.3">
      <c r="A340" s="5"/>
      <c r="B340" s="5"/>
      <c r="C340" s="5"/>
      <c r="D340" s="6"/>
      <c r="E340" s="6"/>
      <c r="F340" s="5"/>
      <c r="G340" s="10"/>
      <c r="H340" s="7"/>
      <c r="I340" s="8"/>
      <c r="J340" s="8"/>
      <c r="K340" s="9"/>
      <c r="L340" s="8"/>
      <c r="M340" s="8"/>
      <c r="N340" s="8"/>
      <c r="O340" s="8"/>
    </row>
    <row r="341" spans="1:15" x14ac:dyDescent="0.3">
      <c r="A341" s="5"/>
      <c r="B341" s="5"/>
      <c r="C341" s="5"/>
      <c r="D341" s="6"/>
      <c r="E341" s="6"/>
      <c r="F341" s="5"/>
      <c r="G341" s="10"/>
      <c r="H341" s="7"/>
      <c r="I341" s="8"/>
      <c r="J341" s="8"/>
      <c r="K341" s="9"/>
      <c r="L341" s="8"/>
      <c r="M341" s="8"/>
      <c r="N341" s="8"/>
      <c r="O341" s="8"/>
    </row>
    <row r="342" spans="1:15" x14ac:dyDescent="0.3">
      <c r="A342" s="5"/>
      <c r="B342" s="5"/>
      <c r="C342" s="5"/>
      <c r="D342" s="6"/>
      <c r="E342" s="6"/>
      <c r="F342" s="5"/>
      <c r="G342" s="10"/>
      <c r="H342" s="7"/>
      <c r="I342" s="8"/>
      <c r="J342" s="8"/>
      <c r="K342" s="9"/>
      <c r="L342" s="8"/>
      <c r="M342" s="8"/>
      <c r="N342" s="8"/>
      <c r="O342" s="8"/>
    </row>
    <row r="343" spans="1:15" x14ac:dyDescent="0.3">
      <c r="A343" s="5"/>
      <c r="B343" s="5"/>
      <c r="C343" s="5"/>
      <c r="D343" s="6"/>
      <c r="E343" s="6"/>
      <c r="F343" s="5"/>
      <c r="G343" s="10"/>
      <c r="H343" s="7"/>
      <c r="I343" s="8"/>
      <c r="J343" s="8"/>
      <c r="K343" s="9"/>
      <c r="L343" s="8"/>
      <c r="M343" s="8"/>
      <c r="N343" s="8"/>
      <c r="O343" s="8"/>
    </row>
    <row r="344" spans="1:15" x14ac:dyDescent="0.3">
      <c r="A344" s="5"/>
      <c r="B344" s="5"/>
      <c r="C344" s="5"/>
      <c r="D344" s="6"/>
      <c r="E344" s="6"/>
      <c r="F344" s="5"/>
      <c r="G344" s="10"/>
      <c r="H344" s="7"/>
      <c r="I344" s="8"/>
      <c r="J344" s="8"/>
      <c r="K344" s="9"/>
      <c r="L344" s="8"/>
      <c r="M344" s="8"/>
      <c r="N344" s="8"/>
      <c r="O344" s="8"/>
    </row>
    <row r="345" spans="1:15" x14ac:dyDescent="0.3">
      <c r="A345" s="5"/>
      <c r="B345" s="5"/>
      <c r="C345" s="5"/>
      <c r="D345" s="6"/>
      <c r="E345" s="6"/>
      <c r="F345" s="5"/>
      <c r="G345" s="10"/>
      <c r="H345" s="7"/>
      <c r="I345" s="8"/>
      <c r="J345" s="8"/>
      <c r="K345" s="9"/>
      <c r="L345" s="8"/>
      <c r="M345" s="8"/>
      <c r="N345" s="8"/>
      <c r="O345" s="8"/>
    </row>
    <row r="346" spans="1:15" x14ac:dyDescent="0.3">
      <c r="A346" s="5"/>
      <c r="B346" s="5"/>
      <c r="C346" s="5"/>
      <c r="D346" s="6"/>
      <c r="E346" s="6"/>
      <c r="F346" s="5"/>
      <c r="G346" s="10"/>
      <c r="H346" s="7"/>
      <c r="I346" s="8"/>
      <c r="J346" s="8"/>
      <c r="K346" s="9"/>
      <c r="L346" s="8"/>
      <c r="M346" s="8"/>
      <c r="N346" s="8"/>
      <c r="O346" s="8"/>
    </row>
    <row r="347" spans="1:15" x14ac:dyDescent="0.3">
      <c r="A347" s="5"/>
      <c r="B347" s="5"/>
      <c r="C347" s="5"/>
      <c r="D347" s="6"/>
      <c r="E347" s="6"/>
      <c r="F347" s="5"/>
      <c r="G347" s="10"/>
      <c r="H347" s="7"/>
      <c r="I347" s="8"/>
      <c r="J347" s="8"/>
      <c r="K347" s="9"/>
      <c r="L347" s="8"/>
      <c r="M347" s="8"/>
      <c r="N347" s="8"/>
      <c r="O347" s="8"/>
    </row>
    <row r="348" spans="1:15" x14ac:dyDescent="0.3">
      <c r="A348" s="5"/>
      <c r="B348" s="5"/>
      <c r="C348" s="5"/>
      <c r="D348" s="6"/>
      <c r="E348" s="6"/>
      <c r="F348" s="5"/>
      <c r="G348" s="10"/>
      <c r="H348" s="7"/>
      <c r="I348" s="8"/>
      <c r="J348" s="8"/>
      <c r="K348" s="9"/>
      <c r="L348" s="8"/>
      <c r="M348" s="8"/>
      <c r="N348" s="8"/>
      <c r="O348" s="8"/>
    </row>
    <row r="349" spans="1:15" x14ac:dyDescent="0.3">
      <c r="A349" s="5"/>
      <c r="B349" s="5"/>
      <c r="C349" s="5"/>
      <c r="D349" s="6"/>
      <c r="E349" s="6"/>
      <c r="F349" s="5"/>
      <c r="G349" s="10"/>
      <c r="H349" s="7"/>
      <c r="I349" s="8"/>
      <c r="J349" s="8"/>
      <c r="K349" s="9"/>
      <c r="L349" s="8"/>
      <c r="M349" s="8"/>
      <c r="N349" s="8"/>
      <c r="O349" s="8"/>
    </row>
    <row r="350" spans="1:15" x14ac:dyDescent="0.3">
      <c r="A350" s="5"/>
      <c r="B350" s="5"/>
      <c r="C350" s="5"/>
      <c r="D350" s="6"/>
      <c r="E350" s="6"/>
      <c r="F350" s="5"/>
      <c r="G350" s="10"/>
      <c r="H350" s="7"/>
      <c r="I350" s="8"/>
      <c r="J350" s="8"/>
      <c r="K350" s="9"/>
      <c r="L350" s="8"/>
      <c r="M350" s="8"/>
      <c r="N350" s="8"/>
      <c r="O350" s="8"/>
    </row>
    <row r="351" spans="1:15" x14ac:dyDescent="0.3">
      <c r="A351" s="5"/>
      <c r="B351" s="5"/>
      <c r="C351" s="5"/>
      <c r="D351" s="6"/>
      <c r="E351" s="6"/>
      <c r="F351" s="5"/>
      <c r="G351" s="10"/>
      <c r="H351" s="7"/>
      <c r="I351" s="8"/>
      <c r="J351" s="8"/>
      <c r="K351" s="9"/>
      <c r="L351" s="8"/>
      <c r="M351" s="8"/>
      <c r="N351" s="8"/>
      <c r="O351" s="8"/>
    </row>
    <row r="352" spans="1:15" x14ac:dyDescent="0.3">
      <c r="A352" s="5"/>
      <c r="B352" s="5"/>
      <c r="C352" s="5"/>
      <c r="D352" s="6"/>
      <c r="E352" s="6"/>
      <c r="F352" s="5"/>
      <c r="G352" s="10"/>
      <c r="H352" s="7"/>
      <c r="I352" s="8"/>
      <c r="J352" s="8"/>
      <c r="K352" s="9"/>
      <c r="L352" s="8"/>
      <c r="M352" s="8"/>
      <c r="N352" s="8"/>
      <c r="O352" s="8"/>
    </row>
    <row r="353" spans="1:15" x14ac:dyDescent="0.3">
      <c r="A353" s="5"/>
      <c r="B353" s="5"/>
      <c r="C353" s="5"/>
      <c r="D353" s="6"/>
      <c r="E353" s="6"/>
      <c r="F353" s="5"/>
      <c r="G353" s="10"/>
      <c r="H353" s="7"/>
      <c r="I353" s="8"/>
      <c r="J353" s="8"/>
      <c r="K353" s="9"/>
      <c r="L353" s="8"/>
      <c r="M353" s="8"/>
      <c r="N353" s="8"/>
      <c r="O353" s="8"/>
    </row>
    <row r="354" spans="1:15" x14ac:dyDescent="0.3">
      <c r="A354" s="5"/>
      <c r="B354" s="5"/>
      <c r="C354" s="5"/>
      <c r="D354" s="6"/>
      <c r="E354" s="6"/>
      <c r="F354" s="5"/>
      <c r="G354" s="10"/>
      <c r="H354" s="7"/>
      <c r="I354" s="8"/>
      <c r="J354" s="8"/>
      <c r="K354" s="9"/>
      <c r="L354" s="8"/>
      <c r="M354" s="8"/>
      <c r="N354" s="8"/>
      <c r="O354" s="8"/>
    </row>
    <row r="355" spans="1:15" x14ac:dyDescent="0.3">
      <c r="A355" s="5"/>
      <c r="B355" s="5"/>
      <c r="C355" s="5"/>
      <c r="D355" s="6"/>
      <c r="E355" s="6"/>
      <c r="F355" s="5"/>
      <c r="G355" s="10"/>
      <c r="H355" s="7"/>
      <c r="I355" s="8"/>
      <c r="J355" s="8"/>
      <c r="K355" s="9"/>
      <c r="L355" s="8"/>
      <c r="M355" s="8"/>
      <c r="N355" s="8"/>
      <c r="O355" s="8"/>
    </row>
    <row r="356" spans="1:15" x14ac:dyDescent="0.3">
      <c r="A356" s="5"/>
      <c r="B356" s="5"/>
      <c r="C356" s="5"/>
      <c r="D356" s="6"/>
      <c r="E356" s="6"/>
      <c r="F356" s="5"/>
      <c r="G356" s="10"/>
      <c r="H356" s="7"/>
      <c r="I356" s="8"/>
      <c r="J356" s="8"/>
      <c r="K356" s="9"/>
      <c r="L356" s="8"/>
      <c r="M356" s="8"/>
      <c r="N356" s="8"/>
      <c r="O356" s="8"/>
    </row>
    <row r="357" spans="1:15" x14ac:dyDescent="0.3">
      <c r="A357" s="5"/>
      <c r="B357" s="5"/>
      <c r="C357" s="5"/>
      <c r="D357" s="6"/>
      <c r="E357" s="6"/>
      <c r="F357" s="5"/>
      <c r="G357" s="10"/>
      <c r="H357" s="7"/>
      <c r="I357" s="8"/>
      <c r="J357" s="8"/>
      <c r="K357" s="9"/>
      <c r="L357" s="8"/>
      <c r="M357" s="8"/>
      <c r="N357" s="8"/>
      <c r="O357" s="8"/>
    </row>
    <row r="358" spans="1:15" x14ac:dyDescent="0.3">
      <c r="A358" s="5"/>
      <c r="B358" s="5"/>
      <c r="C358" s="5"/>
      <c r="D358" s="6"/>
      <c r="E358" s="6"/>
      <c r="F358" s="5"/>
      <c r="G358" s="10"/>
      <c r="H358" s="7"/>
      <c r="I358" s="8"/>
      <c r="J358" s="8"/>
      <c r="K358" s="9"/>
      <c r="L358" s="8"/>
      <c r="M358" s="8"/>
      <c r="N358" s="8"/>
      <c r="O358" s="8"/>
    </row>
    <row r="359" spans="1:15" x14ac:dyDescent="0.3">
      <c r="A359" s="5"/>
      <c r="B359" s="5"/>
      <c r="C359" s="5"/>
      <c r="D359" s="6"/>
      <c r="E359" s="6"/>
      <c r="F359" s="5"/>
      <c r="G359" s="10"/>
      <c r="H359" s="7"/>
      <c r="I359" s="8"/>
      <c r="J359" s="8"/>
      <c r="K359" s="9"/>
      <c r="L359" s="8"/>
      <c r="M359" s="8"/>
      <c r="N359" s="8"/>
      <c r="O359" s="8"/>
    </row>
    <row r="360" spans="1:15" x14ac:dyDescent="0.3">
      <c r="A360" s="5"/>
      <c r="B360" s="5"/>
      <c r="C360" s="5"/>
      <c r="D360" s="6"/>
      <c r="E360" s="6"/>
      <c r="F360" s="5"/>
      <c r="G360" s="10"/>
      <c r="H360" s="7"/>
      <c r="I360" s="8"/>
      <c r="J360" s="8"/>
      <c r="K360" s="9"/>
      <c r="L360" s="8"/>
      <c r="M360" s="8"/>
      <c r="N360" s="8"/>
      <c r="O360" s="8"/>
    </row>
    <row r="361" spans="1:15" x14ac:dyDescent="0.3">
      <c r="A361" s="5"/>
      <c r="B361" s="5"/>
      <c r="C361" s="5"/>
      <c r="D361" s="6"/>
      <c r="E361" s="6"/>
      <c r="F361" s="5"/>
      <c r="G361" s="10"/>
      <c r="H361" s="7"/>
      <c r="I361" s="8"/>
      <c r="J361" s="8"/>
      <c r="K361" s="9"/>
      <c r="L361" s="8"/>
      <c r="M361" s="8"/>
      <c r="N361" s="8"/>
      <c r="O361" s="8"/>
    </row>
    <row r="362" spans="1:15" x14ac:dyDescent="0.3">
      <c r="A362" s="5"/>
      <c r="B362" s="5"/>
      <c r="C362" s="5"/>
      <c r="D362" s="6"/>
      <c r="E362" s="6"/>
      <c r="F362" s="5"/>
      <c r="G362" s="10"/>
      <c r="H362" s="7"/>
      <c r="I362" s="8"/>
      <c r="J362" s="8"/>
      <c r="K362" s="9"/>
      <c r="L362" s="8"/>
      <c r="M362" s="8"/>
      <c r="N362" s="8"/>
      <c r="O362" s="8"/>
    </row>
    <row r="363" spans="1:15" x14ac:dyDescent="0.3">
      <c r="A363" s="5"/>
      <c r="B363" s="5"/>
      <c r="C363" s="5"/>
      <c r="D363" s="6"/>
      <c r="E363" s="6"/>
      <c r="F363" s="5"/>
      <c r="G363" s="10"/>
      <c r="H363" s="7"/>
      <c r="I363" s="8"/>
      <c r="J363" s="8"/>
      <c r="K363" s="9"/>
      <c r="L363" s="8"/>
      <c r="M363" s="8"/>
      <c r="N363" s="8"/>
      <c r="O363" s="8"/>
    </row>
    <row r="364" spans="1:15" x14ac:dyDescent="0.3">
      <c r="A364" s="5"/>
      <c r="B364" s="5"/>
      <c r="C364" s="5"/>
      <c r="D364" s="6"/>
      <c r="E364" s="6"/>
      <c r="F364" s="5"/>
      <c r="G364" s="10"/>
      <c r="H364" s="7"/>
      <c r="I364" s="8"/>
      <c r="J364" s="8"/>
      <c r="K364" s="9"/>
      <c r="L364" s="8"/>
      <c r="M364" s="8"/>
      <c r="N364" s="8"/>
      <c r="O364" s="8"/>
    </row>
    <row r="365" spans="1:15" x14ac:dyDescent="0.3">
      <c r="A365" s="5"/>
      <c r="B365" s="5"/>
      <c r="C365" s="5"/>
      <c r="D365" s="6"/>
      <c r="E365" s="6"/>
      <c r="F365" s="5"/>
      <c r="G365" s="10"/>
      <c r="H365" s="7"/>
      <c r="I365" s="8"/>
      <c r="J365" s="8"/>
      <c r="K365" s="9"/>
      <c r="L365" s="8"/>
      <c r="M365" s="8"/>
      <c r="N365" s="8"/>
      <c r="O365" s="8"/>
    </row>
    <row r="366" spans="1:15" x14ac:dyDescent="0.3">
      <c r="A366" s="5"/>
      <c r="B366" s="5"/>
      <c r="C366" s="5"/>
      <c r="D366" s="6"/>
      <c r="E366" s="6"/>
      <c r="F366" s="5"/>
      <c r="G366" s="10"/>
      <c r="H366" s="7"/>
      <c r="I366" s="8"/>
      <c r="J366" s="8"/>
      <c r="K366" s="9"/>
      <c r="L366" s="8"/>
      <c r="M366" s="8"/>
      <c r="N366" s="8"/>
      <c r="O366" s="8"/>
    </row>
    <row r="367" spans="1:15" x14ac:dyDescent="0.3">
      <c r="A367" s="5"/>
      <c r="B367" s="5"/>
      <c r="C367" s="5"/>
      <c r="D367" s="6"/>
      <c r="E367" s="6"/>
      <c r="F367" s="5"/>
      <c r="G367" s="10"/>
      <c r="H367" s="7"/>
      <c r="I367" s="8"/>
      <c r="J367" s="8"/>
      <c r="K367" s="9"/>
      <c r="L367" s="8"/>
      <c r="M367" s="8"/>
      <c r="N367" s="8"/>
      <c r="O367" s="8"/>
    </row>
    <row r="368" spans="1:15" x14ac:dyDescent="0.3">
      <c r="A368" s="5"/>
      <c r="B368" s="5"/>
      <c r="C368" s="5"/>
      <c r="D368" s="6"/>
      <c r="E368" s="6"/>
      <c r="F368" s="5"/>
      <c r="G368" s="10"/>
      <c r="H368" s="7"/>
      <c r="I368" s="8"/>
      <c r="J368" s="8"/>
      <c r="K368" s="9"/>
      <c r="L368" s="8"/>
      <c r="M368" s="8"/>
      <c r="N368" s="8"/>
      <c r="O368" s="8"/>
    </row>
    <row r="369" spans="1:15" x14ac:dyDescent="0.3">
      <c r="A369" s="5"/>
      <c r="B369" s="5"/>
      <c r="C369" s="5"/>
      <c r="D369" s="6"/>
      <c r="E369" s="6"/>
      <c r="F369" s="5"/>
      <c r="G369" s="10"/>
      <c r="H369" s="7"/>
      <c r="I369" s="8"/>
      <c r="J369" s="8"/>
      <c r="K369" s="9"/>
      <c r="L369" s="8"/>
      <c r="M369" s="8"/>
      <c r="N369" s="8"/>
      <c r="O369" s="8"/>
    </row>
    <row r="370" spans="1:15" x14ac:dyDescent="0.3">
      <c r="A370" s="5"/>
      <c r="B370" s="5"/>
      <c r="C370" s="5"/>
      <c r="D370" s="6"/>
      <c r="E370" s="6"/>
      <c r="F370" s="5"/>
      <c r="G370" s="10"/>
      <c r="H370" s="7"/>
      <c r="I370" s="8"/>
      <c r="J370" s="8"/>
      <c r="K370" s="9"/>
      <c r="L370" s="8"/>
      <c r="M370" s="8"/>
      <c r="N370" s="8"/>
      <c r="O370" s="8"/>
    </row>
    <row r="371" spans="1:15" x14ac:dyDescent="0.3">
      <c r="A371" s="5"/>
      <c r="B371" s="5"/>
      <c r="C371" s="5"/>
      <c r="D371" s="6"/>
      <c r="E371" s="6"/>
      <c r="F371" s="5"/>
      <c r="G371" s="10"/>
      <c r="H371" s="7"/>
      <c r="I371" s="8"/>
      <c r="J371" s="8"/>
      <c r="K371" s="9"/>
      <c r="L371" s="8"/>
      <c r="M371" s="8"/>
      <c r="N371" s="8"/>
      <c r="O371" s="8"/>
    </row>
    <row r="372" spans="1:15" x14ac:dyDescent="0.3">
      <c r="A372" s="5"/>
      <c r="B372" s="5"/>
      <c r="C372" s="5"/>
      <c r="D372" s="6"/>
      <c r="E372" s="6"/>
      <c r="F372" s="5"/>
      <c r="G372" s="10"/>
      <c r="H372" s="7"/>
      <c r="I372" s="8"/>
      <c r="J372" s="8"/>
      <c r="K372" s="9"/>
      <c r="L372" s="8"/>
      <c r="M372" s="8"/>
      <c r="N372" s="8"/>
      <c r="O372" s="8"/>
    </row>
    <row r="373" spans="1:15" x14ac:dyDescent="0.3">
      <c r="A373" s="5"/>
      <c r="B373" s="5"/>
      <c r="C373" s="5"/>
      <c r="D373" s="6"/>
      <c r="E373" s="6"/>
      <c r="F373" s="5"/>
      <c r="G373" s="10"/>
      <c r="H373" s="7"/>
      <c r="I373" s="8"/>
      <c r="J373" s="8"/>
      <c r="K373" s="9"/>
      <c r="L373" s="8"/>
      <c r="M373" s="8"/>
      <c r="N373" s="8"/>
      <c r="O373" s="8"/>
    </row>
    <row r="374" spans="1:15" x14ac:dyDescent="0.3">
      <c r="A374" s="5"/>
      <c r="B374" s="5"/>
      <c r="C374" s="5"/>
      <c r="D374" s="6"/>
      <c r="E374" s="6"/>
      <c r="F374" s="5"/>
      <c r="G374" s="10"/>
      <c r="H374" s="7"/>
      <c r="I374" s="8"/>
      <c r="J374" s="8"/>
      <c r="K374" s="9"/>
      <c r="L374" s="8"/>
      <c r="M374" s="8"/>
      <c r="N374" s="8"/>
      <c r="O374" s="8"/>
    </row>
    <row r="375" spans="1:15" x14ac:dyDescent="0.3">
      <c r="A375" s="5"/>
      <c r="B375" s="5"/>
      <c r="C375" s="5"/>
      <c r="D375" s="6"/>
      <c r="E375" s="6"/>
      <c r="F375" s="5"/>
      <c r="G375" s="10"/>
      <c r="H375" s="7"/>
      <c r="I375" s="8"/>
      <c r="J375" s="8"/>
      <c r="K375" s="9"/>
      <c r="L375" s="8"/>
      <c r="M375" s="8"/>
      <c r="N375" s="8"/>
      <c r="O375" s="8"/>
    </row>
    <row r="376" spans="1:15" x14ac:dyDescent="0.3">
      <c r="A376" s="5"/>
      <c r="B376" s="5"/>
      <c r="C376" s="5"/>
      <c r="D376" s="6"/>
      <c r="E376" s="6"/>
      <c r="F376" s="5"/>
      <c r="G376" s="10"/>
      <c r="H376" s="7"/>
      <c r="I376" s="8"/>
      <c r="J376" s="8"/>
      <c r="K376" s="9"/>
      <c r="L376" s="8"/>
      <c r="M376" s="8"/>
      <c r="N376" s="8"/>
      <c r="O376" s="8"/>
    </row>
    <row r="377" spans="1:15" x14ac:dyDescent="0.3">
      <c r="A377" s="5"/>
      <c r="B377" s="5"/>
      <c r="C377" s="5"/>
      <c r="D377" s="6"/>
      <c r="E377" s="6"/>
      <c r="F377" s="5"/>
      <c r="G377" s="10"/>
      <c r="H377" s="7"/>
      <c r="I377" s="8"/>
      <c r="J377" s="8"/>
      <c r="K377" s="9"/>
      <c r="L377" s="8"/>
      <c r="M377" s="8"/>
      <c r="N377" s="8"/>
      <c r="O377" s="8"/>
    </row>
    <row r="378" spans="1:15" x14ac:dyDescent="0.3">
      <c r="A378" s="5"/>
      <c r="B378" s="5"/>
      <c r="C378" s="5"/>
      <c r="D378" s="6"/>
      <c r="E378" s="6"/>
      <c r="F378" s="5"/>
      <c r="G378" s="10"/>
      <c r="H378" s="7"/>
      <c r="I378" s="8"/>
      <c r="J378" s="8"/>
      <c r="K378" s="9"/>
      <c r="L378" s="8"/>
      <c r="M378" s="8"/>
      <c r="N378" s="8"/>
      <c r="O378" s="8"/>
    </row>
    <row r="379" spans="1:15" x14ac:dyDescent="0.3">
      <c r="A379" s="5"/>
      <c r="B379" s="5"/>
      <c r="C379" s="5"/>
      <c r="D379" s="6"/>
      <c r="E379" s="6"/>
      <c r="F379" s="5"/>
      <c r="G379" s="10"/>
      <c r="H379" s="7"/>
      <c r="I379" s="8"/>
      <c r="J379" s="8"/>
      <c r="K379" s="9"/>
      <c r="L379" s="8"/>
      <c r="M379" s="8"/>
      <c r="N379" s="8"/>
      <c r="O379" s="8"/>
    </row>
    <row r="380" spans="1:15" x14ac:dyDescent="0.3">
      <c r="A380" s="5"/>
      <c r="B380" s="5"/>
      <c r="C380" s="5"/>
      <c r="D380" s="6"/>
      <c r="E380" s="6"/>
      <c r="F380" s="5"/>
      <c r="G380" s="10"/>
      <c r="H380" s="7"/>
      <c r="I380" s="8"/>
      <c r="J380" s="8"/>
      <c r="K380" s="9"/>
      <c r="L380" s="8"/>
      <c r="M380" s="8"/>
      <c r="N380" s="8"/>
      <c r="O380" s="8"/>
    </row>
    <row r="381" spans="1:15" x14ac:dyDescent="0.3">
      <c r="A381" s="5"/>
      <c r="B381" s="5"/>
      <c r="C381" s="5"/>
      <c r="D381" s="6"/>
      <c r="E381" s="6"/>
      <c r="F381" s="5"/>
      <c r="G381" s="10"/>
      <c r="H381" s="7"/>
      <c r="I381" s="8"/>
      <c r="J381" s="8"/>
      <c r="K381" s="9"/>
      <c r="L381" s="8"/>
      <c r="M381" s="8"/>
      <c r="N381" s="8"/>
      <c r="O381" s="8"/>
    </row>
    <row r="382" spans="1:15" x14ac:dyDescent="0.3">
      <c r="G382" s="10"/>
    </row>
    <row r="383" spans="1:15" x14ac:dyDescent="0.3">
      <c r="G383" s="10"/>
    </row>
    <row r="384" spans="1:15" x14ac:dyDescent="0.3">
      <c r="G384" s="10"/>
    </row>
  </sheetData>
  <autoFilter ref="A3:Y164" xr:uid="{2B594B40-1B65-4FE5-BDDA-8B4498E836C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7665-607E-40BC-A05A-A4982DA03155}">
  <dimension ref="A3:P401"/>
  <sheetViews>
    <sheetView workbookViewId="0">
      <selection activeCell="H159" sqref="H159"/>
    </sheetView>
  </sheetViews>
  <sheetFormatPr defaultRowHeight="14.4" x14ac:dyDescent="0.3"/>
  <cols>
    <col min="1" max="1" width="7.44140625" bestFit="1" customWidth="1"/>
    <col min="2" max="2" width="48.44140625" bestFit="1" customWidth="1"/>
    <col min="3" max="3" width="18.88671875" bestFit="1" customWidth="1"/>
    <col min="4" max="4" width="12.109375" bestFit="1" customWidth="1"/>
    <col min="5" max="5" width="14.88671875" bestFit="1" customWidth="1"/>
    <col min="6" max="6" width="18.6640625" bestFit="1" customWidth="1"/>
    <col min="7" max="7" width="36.44140625" bestFit="1" customWidth="1"/>
    <col min="8" max="8" width="12" style="11" bestFit="1" customWidth="1"/>
    <col min="9" max="9" width="14.88671875" style="27" bestFit="1" customWidth="1"/>
    <col min="10" max="10" width="15" style="27" bestFit="1" customWidth="1"/>
    <col min="11" max="11" width="8.44140625" bestFit="1" customWidth="1"/>
    <col min="12" max="12" width="14.88671875" style="27" bestFit="1" customWidth="1"/>
    <col min="13" max="14" width="13.33203125" style="27" bestFit="1" customWidth="1"/>
    <col min="15" max="15" width="6.44140625" style="27" bestFit="1" customWidth="1"/>
    <col min="16" max="16" width="13.6640625" bestFit="1" customWidth="1"/>
  </cols>
  <sheetData>
    <row r="3" spans="1:1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9"/>
      <c r="H3" s="2" t="s">
        <v>6</v>
      </c>
      <c r="I3" s="31" t="s">
        <v>7</v>
      </c>
      <c r="J3" s="31" t="s">
        <v>8</v>
      </c>
      <c r="K3" s="4" t="s">
        <v>9</v>
      </c>
      <c r="L3" s="31" t="s">
        <v>10</v>
      </c>
      <c r="M3" s="31" t="s">
        <v>11</v>
      </c>
      <c r="N3" s="31" t="s">
        <v>12</v>
      </c>
      <c r="O3" s="31" t="s">
        <v>13</v>
      </c>
      <c r="P3" s="31" t="s">
        <v>486</v>
      </c>
    </row>
    <row r="4" spans="1:16" x14ac:dyDescent="0.3">
      <c r="A4" s="30">
        <v>45748</v>
      </c>
      <c r="B4" s="5" t="s">
        <v>34</v>
      </c>
      <c r="C4" s="5" t="s">
        <v>63</v>
      </c>
      <c r="D4" s="6" t="s">
        <v>59</v>
      </c>
      <c r="E4" s="6"/>
      <c r="F4" s="5" t="s">
        <v>88</v>
      </c>
      <c r="G4" s="10" t="str">
        <f>CONCATENATE(C4,"_",F4)</f>
        <v>27AAICT8273F1ZY_TW/25-26/1001</v>
      </c>
      <c r="H4" s="7">
        <v>45748</v>
      </c>
      <c r="I4" s="32">
        <v>135247.92000000001</v>
      </c>
      <c r="J4" s="32">
        <v>114616.88</v>
      </c>
      <c r="K4" s="9">
        <v>18</v>
      </c>
      <c r="L4" s="32">
        <v>0</v>
      </c>
      <c r="M4" s="32">
        <v>10315.52</v>
      </c>
      <c r="N4" s="32">
        <v>10315.52</v>
      </c>
      <c r="O4" s="32"/>
      <c r="P4" t="str">
        <f>VLOOKUP(G4,'GST + Invocie No'!$B$4:$Y$185,24,0)</f>
        <v>Book And 2B Match</v>
      </c>
    </row>
    <row r="5" spans="1:16" x14ac:dyDescent="0.3">
      <c r="A5" s="30">
        <v>45748</v>
      </c>
      <c r="B5" s="5" t="s">
        <v>35</v>
      </c>
      <c r="C5" s="5" t="s">
        <v>64</v>
      </c>
      <c r="D5" s="6" t="s">
        <v>59</v>
      </c>
      <c r="E5" s="6"/>
      <c r="F5" s="5" t="s">
        <v>89</v>
      </c>
      <c r="G5" s="10" t="str">
        <f t="shared" ref="G5:G68" si="0">CONCATENATE(C5,"_",F5)</f>
        <v>08AAECP9085D2Z5_PPSPL/25-26/0011</v>
      </c>
      <c r="H5" s="7">
        <v>45750</v>
      </c>
      <c r="I5" s="32">
        <v>2986597.62</v>
      </c>
      <c r="J5" s="32">
        <v>2531014.9300000002</v>
      </c>
      <c r="K5" s="9">
        <v>18</v>
      </c>
      <c r="L5" s="32">
        <v>455582.69</v>
      </c>
      <c r="M5" s="32">
        <v>0</v>
      </c>
      <c r="N5" s="32">
        <v>0</v>
      </c>
      <c r="O5" s="32"/>
      <c r="P5" t="str">
        <f>VLOOKUP(G5,'GST + Invocie No'!$B$4:$Y$185,24,0)</f>
        <v>Book And 2B Match</v>
      </c>
    </row>
    <row r="6" spans="1:16" x14ac:dyDescent="0.3">
      <c r="A6" s="30">
        <v>45748</v>
      </c>
      <c r="B6" s="5" t="s">
        <v>36</v>
      </c>
      <c r="C6" s="5" t="s">
        <v>65</v>
      </c>
      <c r="D6" s="6" t="s">
        <v>59</v>
      </c>
      <c r="E6" s="6"/>
      <c r="F6" s="5" t="s">
        <v>90</v>
      </c>
      <c r="G6" s="10" t="str">
        <f t="shared" si="0"/>
        <v>27AALCB9501D1ZS_BMPL0036</v>
      </c>
      <c r="H6" s="7">
        <v>45753</v>
      </c>
      <c r="I6" s="32">
        <v>2057423.1799999997</v>
      </c>
      <c r="J6" s="32">
        <v>1743578.96</v>
      </c>
      <c r="K6" s="9">
        <v>18</v>
      </c>
      <c r="L6" s="32">
        <v>0</v>
      </c>
      <c r="M6" s="32">
        <v>156922.10999999999</v>
      </c>
      <c r="N6" s="32">
        <v>156922.10999999999</v>
      </c>
      <c r="O6" s="32"/>
      <c r="P6" t="str">
        <f>VLOOKUP(G6,'GST + Invocie No'!$B$4:$Y$185,24,0)</f>
        <v>Book And 2B Match</v>
      </c>
    </row>
    <row r="7" spans="1:16" x14ac:dyDescent="0.3">
      <c r="A7" s="30">
        <v>45748</v>
      </c>
      <c r="B7" s="5" t="s">
        <v>37</v>
      </c>
      <c r="C7" s="5" t="s">
        <v>66</v>
      </c>
      <c r="D7" s="6" t="s">
        <v>59</v>
      </c>
      <c r="E7" s="6"/>
      <c r="F7" s="5" t="s">
        <v>91</v>
      </c>
      <c r="G7" s="10" t="str">
        <f t="shared" si="0"/>
        <v>27AADCD9460D1ZO_25-26/4/214</v>
      </c>
      <c r="H7" s="7">
        <v>45777</v>
      </c>
      <c r="I7" s="32">
        <v>11800</v>
      </c>
      <c r="J7" s="32">
        <v>10000</v>
      </c>
      <c r="K7" s="9">
        <v>18</v>
      </c>
      <c r="L7" s="32">
        <v>0</v>
      </c>
      <c r="M7" s="32">
        <v>900</v>
      </c>
      <c r="N7" s="32">
        <v>900</v>
      </c>
      <c r="O7" s="32"/>
      <c r="P7" t="str">
        <f>VLOOKUP(G7,'GST + Invocie No'!$B$4:$Y$185,24,0)</f>
        <v>Book And 2B Match</v>
      </c>
    </row>
    <row r="8" spans="1:16" x14ac:dyDescent="0.3">
      <c r="A8" s="30">
        <v>45748</v>
      </c>
      <c r="B8" s="5" t="s">
        <v>38</v>
      </c>
      <c r="C8" s="5" t="s">
        <v>67</v>
      </c>
      <c r="D8" s="6" t="s">
        <v>59</v>
      </c>
      <c r="E8" s="6"/>
      <c r="F8" s="5" t="s">
        <v>92</v>
      </c>
      <c r="G8" s="10" t="str">
        <f t="shared" si="0"/>
        <v>07AAHCT4293N1ZO_TTSPL20250425</v>
      </c>
      <c r="H8" s="7">
        <v>45777</v>
      </c>
      <c r="I8" s="32">
        <v>22514.11</v>
      </c>
      <c r="J8" s="32">
        <v>19079.75</v>
      </c>
      <c r="K8" s="9">
        <v>18</v>
      </c>
      <c r="L8" s="32">
        <v>3434.36</v>
      </c>
      <c r="M8" s="32">
        <v>0</v>
      </c>
      <c r="N8" s="32">
        <v>0</v>
      </c>
      <c r="O8" s="32"/>
      <c r="P8" t="str">
        <f>VLOOKUP(G8,'GST + Invocie No'!$B$4:$Y$185,24,0)</f>
        <v>Book And 2B Match</v>
      </c>
    </row>
    <row r="9" spans="1:16" x14ac:dyDescent="0.3">
      <c r="A9" s="30">
        <v>45748</v>
      </c>
      <c r="B9" s="5" t="s">
        <v>39</v>
      </c>
      <c r="C9" s="5" t="s">
        <v>68</v>
      </c>
      <c r="D9" s="6" t="s">
        <v>59</v>
      </c>
      <c r="E9" s="6"/>
      <c r="F9" s="5" t="s">
        <v>93</v>
      </c>
      <c r="G9" s="10" t="str">
        <f t="shared" si="0"/>
        <v>27ABDCS7338G1Z4_STPL/25-26/012</v>
      </c>
      <c r="H9" s="7">
        <v>45777</v>
      </c>
      <c r="I9" s="32">
        <v>627588.64000000013</v>
      </c>
      <c r="J9" s="32">
        <v>531854.78</v>
      </c>
      <c r="K9" s="9">
        <v>18</v>
      </c>
      <c r="L9" s="32">
        <v>0</v>
      </c>
      <c r="M9" s="32">
        <v>47866.93</v>
      </c>
      <c r="N9" s="32">
        <v>47866.93</v>
      </c>
      <c r="O9" s="32"/>
      <c r="P9" t="str">
        <f>VLOOKUP(G9,'GST + Invocie No'!$B$4:$Y$185,24,0)</f>
        <v>Book And 2B Match</v>
      </c>
    </row>
    <row r="10" spans="1:16" x14ac:dyDescent="0.3">
      <c r="A10" s="30">
        <v>45748</v>
      </c>
      <c r="B10" s="5" t="s">
        <v>40</v>
      </c>
      <c r="C10" s="5" t="s">
        <v>69</v>
      </c>
      <c r="D10" s="6" t="s">
        <v>59</v>
      </c>
      <c r="E10" s="6"/>
      <c r="F10" s="5" t="s">
        <v>94</v>
      </c>
      <c r="G10" s="10" t="str">
        <f t="shared" si="0"/>
        <v>27AACCR7740M1ZX_RM/04-25/PP0480</v>
      </c>
      <c r="H10" s="7">
        <v>45777</v>
      </c>
      <c r="I10" s="32">
        <v>3833253.14</v>
      </c>
      <c r="J10" s="32">
        <v>3248519.6</v>
      </c>
      <c r="K10" s="9">
        <v>18</v>
      </c>
      <c r="L10" s="32">
        <v>0</v>
      </c>
      <c r="M10" s="32">
        <v>292366.77</v>
      </c>
      <c r="N10" s="32">
        <v>292366.77</v>
      </c>
      <c r="O10" s="32"/>
      <c r="P10" t="str">
        <f>VLOOKUP(G10,'GST + Invocie No'!$B$4:$Y$185,24,0)</f>
        <v>Book And 2B Match</v>
      </c>
    </row>
    <row r="11" spans="1:16" x14ac:dyDescent="0.3">
      <c r="A11" s="30">
        <v>45778</v>
      </c>
      <c r="B11" s="5" t="s">
        <v>34</v>
      </c>
      <c r="C11" s="5" t="s">
        <v>63</v>
      </c>
      <c r="D11" s="6" t="s">
        <v>59</v>
      </c>
      <c r="E11" s="6"/>
      <c r="F11" s="5" t="s">
        <v>95</v>
      </c>
      <c r="G11" s="10" t="str">
        <f t="shared" si="0"/>
        <v>27AAICT8273F1ZY_TW/25-26/1012</v>
      </c>
      <c r="H11" s="7">
        <v>45778</v>
      </c>
      <c r="I11" s="32">
        <v>1414.7400000000002</v>
      </c>
      <c r="J11" s="32">
        <v>1198.94</v>
      </c>
      <c r="K11" s="9">
        <v>18</v>
      </c>
      <c r="L11" s="32">
        <v>0</v>
      </c>
      <c r="M11" s="32">
        <v>107.9</v>
      </c>
      <c r="N11" s="32">
        <v>107.9</v>
      </c>
      <c r="O11" s="32"/>
      <c r="P11" t="str">
        <f>VLOOKUP(G11,'GST + Invocie No'!$B$4:$Y$185,24,0)</f>
        <v>Book And 2B Match</v>
      </c>
    </row>
    <row r="12" spans="1:16" x14ac:dyDescent="0.3">
      <c r="A12" s="30">
        <v>45778</v>
      </c>
      <c r="B12" s="5" t="s">
        <v>36</v>
      </c>
      <c r="C12" s="5" t="s">
        <v>65</v>
      </c>
      <c r="D12" s="6" t="s">
        <v>59</v>
      </c>
      <c r="E12" s="6"/>
      <c r="F12" s="5" t="s">
        <v>96</v>
      </c>
      <c r="G12" s="10" t="str">
        <f t="shared" si="0"/>
        <v>27AALCB9501D1ZS_BMPL0046</v>
      </c>
      <c r="H12" s="7">
        <v>45778</v>
      </c>
      <c r="I12" s="32">
        <v>3099838.9000000004</v>
      </c>
      <c r="J12" s="32">
        <v>2626982.12</v>
      </c>
      <c r="K12" s="9">
        <v>18</v>
      </c>
      <c r="L12" s="32">
        <v>0</v>
      </c>
      <c r="M12" s="32">
        <v>236428.39</v>
      </c>
      <c r="N12" s="32">
        <v>236428.39</v>
      </c>
      <c r="O12" s="32"/>
      <c r="P12" t="str">
        <f>VLOOKUP(G12,'GST + Invocie No'!$B$4:$Y$185,24,0)</f>
        <v>Book And 2B Match</v>
      </c>
    </row>
    <row r="13" spans="1:16" x14ac:dyDescent="0.3">
      <c r="A13" s="30">
        <v>45778</v>
      </c>
      <c r="B13" s="5" t="s">
        <v>35</v>
      </c>
      <c r="C13" s="5" t="s">
        <v>64</v>
      </c>
      <c r="D13" s="6" t="s">
        <v>59</v>
      </c>
      <c r="E13" s="6"/>
      <c r="F13" s="5" t="s">
        <v>97</v>
      </c>
      <c r="G13" s="10" t="str">
        <f t="shared" si="0"/>
        <v>08AAECP9085D2Z5_PPSPL/25-26/0114</v>
      </c>
      <c r="H13" s="7">
        <v>45783</v>
      </c>
      <c r="I13" s="32">
        <v>3429261.8499999996</v>
      </c>
      <c r="J13" s="32">
        <v>2906154.11</v>
      </c>
      <c r="K13" s="9">
        <v>18</v>
      </c>
      <c r="L13" s="32">
        <v>523107.74</v>
      </c>
      <c r="M13" s="32">
        <v>0</v>
      </c>
      <c r="N13" s="32">
        <v>0</v>
      </c>
      <c r="O13" s="32"/>
      <c r="P13" t="str">
        <f>VLOOKUP(G13,'GST + Invocie No'!$B$4:$Y$185,24,0)</f>
        <v>Book And 2B Match</v>
      </c>
    </row>
    <row r="14" spans="1:16" x14ac:dyDescent="0.3">
      <c r="A14" s="30">
        <v>45778</v>
      </c>
      <c r="B14" s="5" t="s">
        <v>41</v>
      </c>
      <c r="C14" s="5" t="s">
        <v>70</v>
      </c>
      <c r="D14" s="6" t="s">
        <v>59</v>
      </c>
      <c r="E14" s="6"/>
      <c r="F14" s="5" t="s">
        <v>98</v>
      </c>
      <c r="G14" s="10" t="str">
        <f t="shared" si="0"/>
        <v>24AALCR1836M1Z1_INV-R000368</v>
      </c>
      <c r="H14" s="7">
        <v>45789</v>
      </c>
      <c r="I14" s="32">
        <v>31352.6</v>
      </c>
      <c r="J14" s="32">
        <v>26570</v>
      </c>
      <c r="K14" s="9">
        <v>18</v>
      </c>
      <c r="L14" s="32">
        <v>4782.6000000000004</v>
      </c>
      <c r="M14" s="32">
        <v>0</v>
      </c>
      <c r="N14" s="32">
        <v>0</v>
      </c>
      <c r="O14" s="32"/>
      <c r="P14" t="str">
        <f>VLOOKUP(G14,'GST + Invocie No'!$B$4:$Y$185,24,0)</f>
        <v>Book And 2B Match</v>
      </c>
    </row>
    <row r="15" spans="1:16" x14ac:dyDescent="0.3">
      <c r="A15" s="30">
        <v>45778</v>
      </c>
      <c r="B15" s="5" t="s">
        <v>37</v>
      </c>
      <c r="C15" s="5" t="s">
        <v>66</v>
      </c>
      <c r="D15" s="6" t="s">
        <v>59</v>
      </c>
      <c r="E15" s="6"/>
      <c r="F15" s="5" t="s">
        <v>99</v>
      </c>
      <c r="G15" s="10" t="str">
        <f t="shared" si="0"/>
        <v>27AADCD9460D1ZO_25-26/5/206</v>
      </c>
      <c r="H15" s="7">
        <v>45808</v>
      </c>
      <c r="I15" s="32">
        <v>11800</v>
      </c>
      <c r="J15" s="32">
        <v>10000</v>
      </c>
      <c r="K15" s="9">
        <v>18</v>
      </c>
      <c r="L15" s="32">
        <v>0</v>
      </c>
      <c r="M15" s="32">
        <v>900</v>
      </c>
      <c r="N15" s="32">
        <v>900</v>
      </c>
      <c r="O15" s="32"/>
      <c r="P15" t="str">
        <f>VLOOKUP(G15,'GST + Invocie No'!$B$4:$Y$185,24,0)</f>
        <v>Book And 2B Match</v>
      </c>
    </row>
    <row r="16" spans="1:16" x14ac:dyDescent="0.3">
      <c r="A16" s="30">
        <v>45778</v>
      </c>
      <c r="B16" s="5" t="s">
        <v>39</v>
      </c>
      <c r="C16" s="5" t="s">
        <v>68</v>
      </c>
      <c r="D16" s="6" t="s">
        <v>59</v>
      </c>
      <c r="E16" s="6"/>
      <c r="F16" s="5" t="s">
        <v>100</v>
      </c>
      <c r="G16" s="10" t="str">
        <f t="shared" si="0"/>
        <v>27ABDCS7338G1Z4_STPL/25-26/034</v>
      </c>
      <c r="H16" s="7">
        <v>45808</v>
      </c>
      <c r="I16" s="32">
        <v>176053.29</v>
      </c>
      <c r="J16" s="32">
        <v>149197.71</v>
      </c>
      <c r="K16" s="9">
        <v>18</v>
      </c>
      <c r="L16" s="32">
        <v>0</v>
      </c>
      <c r="M16" s="32">
        <v>13427.79</v>
      </c>
      <c r="N16" s="32">
        <v>13427.79</v>
      </c>
      <c r="O16" s="32"/>
      <c r="P16" t="str">
        <f>VLOOKUP(G16,'GST + Invocie No'!$B$4:$Y$185,24,0)</f>
        <v>Book And 2B Match</v>
      </c>
    </row>
    <row r="17" spans="1:16" x14ac:dyDescent="0.3">
      <c r="A17" s="30">
        <v>45778</v>
      </c>
      <c r="B17" s="5" t="s">
        <v>38</v>
      </c>
      <c r="C17" s="5" t="s">
        <v>67</v>
      </c>
      <c r="D17" s="6" t="s">
        <v>59</v>
      </c>
      <c r="E17" s="6"/>
      <c r="F17" s="5" t="s">
        <v>101</v>
      </c>
      <c r="G17" s="10" t="str">
        <f t="shared" si="0"/>
        <v>07AAHCT4293N1ZO_TTSPL20250534</v>
      </c>
      <c r="H17" s="7">
        <v>45808</v>
      </c>
      <c r="I17" s="32">
        <v>29140.809999999998</v>
      </c>
      <c r="J17" s="32">
        <v>24695.599999999999</v>
      </c>
      <c r="K17" s="9">
        <v>18</v>
      </c>
      <c r="L17" s="32">
        <v>4445.21</v>
      </c>
      <c r="M17" s="32">
        <v>0</v>
      </c>
      <c r="N17" s="32">
        <v>0</v>
      </c>
      <c r="O17" s="32"/>
      <c r="P17" t="str">
        <f>VLOOKUP(G17,'GST + Invocie No'!$B$4:$Y$185,24,0)</f>
        <v>Book And 2B Match</v>
      </c>
    </row>
    <row r="18" spans="1:16" x14ac:dyDescent="0.3">
      <c r="A18" s="30">
        <v>45778</v>
      </c>
      <c r="B18" s="5" t="s">
        <v>40</v>
      </c>
      <c r="C18" s="5" t="s">
        <v>69</v>
      </c>
      <c r="D18" s="6" t="s">
        <v>59</v>
      </c>
      <c r="E18" s="6"/>
      <c r="F18" s="5" t="s">
        <v>102</v>
      </c>
      <c r="G18" s="10" t="str">
        <f t="shared" si="0"/>
        <v>27AACCR7740M1ZX_RM/05-25/PP0466</v>
      </c>
      <c r="H18" s="7">
        <v>45808</v>
      </c>
      <c r="I18" s="32">
        <v>2468428.39</v>
      </c>
      <c r="J18" s="32">
        <v>2091888.47</v>
      </c>
      <c r="K18" s="9">
        <v>18</v>
      </c>
      <c r="L18" s="32">
        <v>0</v>
      </c>
      <c r="M18" s="32">
        <v>188269.96</v>
      </c>
      <c r="N18" s="32">
        <v>188269.96</v>
      </c>
      <c r="O18" s="32"/>
      <c r="P18" t="str">
        <f>VLOOKUP(G18,'GST + Invocie No'!$B$4:$Y$185,24,0)</f>
        <v>Book And 2B Match</v>
      </c>
    </row>
    <row r="19" spans="1:16" x14ac:dyDescent="0.3">
      <c r="A19" s="30">
        <v>45809</v>
      </c>
      <c r="B19" s="5" t="s">
        <v>34</v>
      </c>
      <c r="C19" s="5" t="s">
        <v>63</v>
      </c>
      <c r="D19" s="6" t="s">
        <v>59</v>
      </c>
      <c r="E19" s="6"/>
      <c r="F19" s="5" t="s">
        <v>103</v>
      </c>
      <c r="G19" s="10" t="str">
        <f t="shared" si="0"/>
        <v>27AAICT8273F1ZY_TW/2025-26/1027</v>
      </c>
      <c r="H19" s="7">
        <v>45809</v>
      </c>
      <c r="I19" s="32">
        <v>2045.05</v>
      </c>
      <c r="J19" s="32">
        <v>1733.09</v>
      </c>
      <c r="K19" s="9">
        <v>18</v>
      </c>
      <c r="L19" s="32">
        <v>0</v>
      </c>
      <c r="M19" s="32">
        <v>155.97999999999999</v>
      </c>
      <c r="N19" s="32">
        <v>155.97999999999999</v>
      </c>
      <c r="O19" s="32"/>
      <c r="P19" t="str">
        <f>VLOOKUP(G19,'GST + Invocie No'!$B$4:$Y$185,24,0)</f>
        <v>Book And 2B Match</v>
      </c>
    </row>
    <row r="20" spans="1:16" x14ac:dyDescent="0.3">
      <c r="A20" s="30">
        <v>45809</v>
      </c>
      <c r="B20" s="5" t="s">
        <v>36</v>
      </c>
      <c r="C20" s="5" t="s">
        <v>65</v>
      </c>
      <c r="D20" s="6" t="s">
        <v>59</v>
      </c>
      <c r="E20" s="6"/>
      <c r="F20" s="5" t="s">
        <v>104</v>
      </c>
      <c r="G20" s="10" t="str">
        <f t="shared" si="0"/>
        <v>27AALCB9501D1ZS_BMPL0060</v>
      </c>
      <c r="H20" s="7">
        <v>45813</v>
      </c>
      <c r="I20" s="32">
        <v>1236941.5899999999</v>
      </c>
      <c r="J20" s="32">
        <v>1048255.59</v>
      </c>
      <c r="K20" s="9">
        <v>18</v>
      </c>
      <c r="L20" s="32">
        <v>0</v>
      </c>
      <c r="M20" s="32">
        <v>94343</v>
      </c>
      <c r="N20" s="32">
        <v>94343</v>
      </c>
      <c r="O20" s="32"/>
      <c r="P20" t="str">
        <f>VLOOKUP(G20,'GST + Invocie No'!$B$4:$Y$185,24,0)</f>
        <v>Book And 2B Match</v>
      </c>
    </row>
    <row r="21" spans="1:16" x14ac:dyDescent="0.3">
      <c r="A21" s="30">
        <v>45809</v>
      </c>
      <c r="B21" s="5" t="s">
        <v>35</v>
      </c>
      <c r="C21" s="5" t="s">
        <v>64</v>
      </c>
      <c r="D21" s="6" t="s">
        <v>59</v>
      </c>
      <c r="E21" s="6"/>
      <c r="F21" s="5" t="s">
        <v>105</v>
      </c>
      <c r="G21" s="10" t="str">
        <f t="shared" si="0"/>
        <v>08AAECP9085D2Z5_PPSPL/25-26/0212</v>
      </c>
      <c r="H21" s="7">
        <v>45814</v>
      </c>
      <c r="I21" s="32">
        <v>93050.12</v>
      </c>
      <c r="J21" s="32">
        <v>78856.03</v>
      </c>
      <c r="K21" s="9">
        <v>18</v>
      </c>
      <c r="L21" s="32">
        <v>14194.09</v>
      </c>
      <c r="M21" s="32">
        <v>0</v>
      </c>
      <c r="N21" s="32">
        <v>0</v>
      </c>
      <c r="O21" s="32"/>
      <c r="P21" t="str">
        <f>VLOOKUP(G21,'GST + Invocie No'!$B$4:$Y$185,24,0)</f>
        <v>Book And 2B Match</v>
      </c>
    </row>
    <row r="22" spans="1:16" x14ac:dyDescent="0.3">
      <c r="A22" s="30">
        <v>45809</v>
      </c>
      <c r="B22" s="5" t="s">
        <v>41</v>
      </c>
      <c r="C22" s="5" t="s">
        <v>70</v>
      </c>
      <c r="D22" s="6" t="s">
        <v>59</v>
      </c>
      <c r="E22" s="6"/>
      <c r="F22" s="5" t="s">
        <v>106</v>
      </c>
      <c r="G22" s="10" t="str">
        <f t="shared" si="0"/>
        <v>24AALCR1836M1Z1_INV-R000370</v>
      </c>
      <c r="H22" s="7">
        <v>45827</v>
      </c>
      <c r="I22" s="32">
        <v>19585.64</v>
      </c>
      <c r="J22" s="32">
        <v>16598</v>
      </c>
      <c r="K22" s="9">
        <v>18</v>
      </c>
      <c r="L22" s="32">
        <v>2987.64</v>
      </c>
      <c r="M22" s="32">
        <v>0</v>
      </c>
      <c r="N22" s="32">
        <v>0</v>
      </c>
      <c r="O22" s="32"/>
      <c r="P22" t="str">
        <f>VLOOKUP(G22,'GST + Invocie No'!$B$4:$Y$185,24,0)</f>
        <v>Book And 2B Match</v>
      </c>
    </row>
    <row r="23" spans="1:16" x14ac:dyDescent="0.3">
      <c r="A23" s="30">
        <v>45809</v>
      </c>
      <c r="B23" s="5" t="s">
        <v>42</v>
      </c>
      <c r="C23" s="5" t="s">
        <v>71</v>
      </c>
      <c r="D23" s="6" t="s">
        <v>59</v>
      </c>
      <c r="E23" s="6"/>
      <c r="F23" s="5" t="s">
        <v>107</v>
      </c>
      <c r="G23" s="10" t="str">
        <f t="shared" si="0"/>
        <v>08AAPCS9984F1ZG_SWPLJUN25-26/100</v>
      </c>
      <c r="H23" s="7">
        <v>45838</v>
      </c>
      <c r="I23" s="32">
        <v>10113190</v>
      </c>
      <c r="J23" s="32">
        <v>8570500</v>
      </c>
      <c r="K23" s="9">
        <v>18</v>
      </c>
      <c r="L23" s="32">
        <v>1542690</v>
      </c>
      <c r="M23" s="32">
        <v>0</v>
      </c>
      <c r="N23" s="32">
        <v>0</v>
      </c>
      <c r="O23" s="32"/>
      <c r="P23" t="str">
        <f>VLOOKUP(G23,'GST + Invocie No'!$B$4:$Y$185,24,0)</f>
        <v>Book And 2B Match</v>
      </c>
    </row>
    <row r="24" spans="1:16" x14ac:dyDescent="0.3">
      <c r="A24" s="30">
        <v>45809</v>
      </c>
      <c r="B24" s="5" t="s">
        <v>38</v>
      </c>
      <c r="C24" s="5" t="s">
        <v>67</v>
      </c>
      <c r="D24" s="6" t="s">
        <v>59</v>
      </c>
      <c r="E24" s="6"/>
      <c r="F24" s="5" t="s">
        <v>108</v>
      </c>
      <c r="G24" s="10" t="str">
        <f t="shared" si="0"/>
        <v>07AAHCT4293N1ZO_TTSPL20250627</v>
      </c>
      <c r="H24" s="7">
        <v>45838</v>
      </c>
      <c r="I24" s="32">
        <v>32570.350000000002</v>
      </c>
      <c r="J24" s="32">
        <v>27601.99</v>
      </c>
      <c r="K24" s="9">
        <v>18</v>
      </c>
      <c r="L24" s="32">
        <v>4968.3599999999997</v>
      </c>
      <c r="M24" s="32">
        <v>0</v>
      </c>
      <c r="N24" s="32">
        <v>0</v>
      </c>
      <c r="O24" s="32"/>
      <c r="P24" t="str">
        <f>VLOOKUP(G24,'GST + Invocie No'!$B$4:$Y$185,24,0)</f>
        <v>Book And 2B Match</v>
      </c>
    </row>
    <row r="25" spans="1:16" x14ac:dyDescent="0.3">
      <c r="A25" s="30">
        <v>45809</v>
      </c>
      <c r="B25" s="5" t="s">
        <v>37</v>
      </c>
      <c r="C25" s="5" t="s">
        <v>66</v>
      </c>
      <c r="D25" s="6" t="s">
        <v>59</v>
      </c>
      <c r="E25" s="6"/>
      <c r="F25" s="5" t="s">
        <v>109</v>
      </c>
      <c r="G25" s="10" t="str">
        <f t="shared" si="0"/>
        <v>27AADCD9460D1ZO_25-26/6/178</v>
      </c>
      <c r="H25" s="7">
        <v>45838</v>
      </c>
      <c r="I25" s="32">
        <v>11800</v>
      </c>
      <c r="J25" s="32">
        <v>10000</v>
      </c>
      <c r="K25" s="9">
        <v>18</v>
      </c>
      <c r="L25" s="32">
        <v>0</v>
      </c>
      <c r="M25" s="32">
        <v>900</v>
      </c>
      <c r="N25" s="32">
        <v>900</v>
      </c>
      <c r="O25" s="32"/>
      <c r="P25" t="str">
        <f>VLOOKUP(G25,'GST + Invocie No'!$B$4:$Y$185,24,0)</f>
        <v>Book And 2B Match</v>
      </c>
    </row>
    <row r="26" spans="1:16" x14ac:dyDescent="0.3">
      <c r="A26" s="30">
        <v>45839</v>
      </c>
      <c r="B26" s="5" t="s">
        <v>34</v>
      </c>
      <c r="C26" s="5" t="s">
        <v>63</v>
      </c>
      <c r="D26" s="6" t="s">
        <v>59</v>
      </c>
      <c r="E26" s="6"/>
      <c r="F26" s="5" t="s">
        <v>110</v>
      </c>
      <c r="G26" s="10" t="str">
        <f t="shared" si="0"/>
        <v>27AAICT8273F1ZY_TW/2025-26/1045</v>
      </c>
      <c r="H26" s="7">
        <v>45839</v>
      </c>
      <c r="I26" s="32">
        <v>2905.59</v>
      </c>
      <c r="J26" s="32">
        <v>2462.37</v>
      </c>
      <c r="K26" s="9">
        <v>18</v>
      </c>
      <c r="L26" s="32">
        <v>0</v>
      </c>
      <c r="M26" s="32">
        <v>221.61</v>
      </c>
      <c r="N26" s="32">
        <v>221.61</v>
      </c>
      <c r="O26" s="32"/>
      <c r="P26" t="str">
        <f>VLOOKUP(G26,'GST + Invocie No'!$B$4:$Y$185,24,0)</f>
        <v>Book And 2B Match</v>
      </c>
    </row>
    <row r="27" spans="1:16" x14ac:dyDescent="0.3">
      <c r="A27" s="30">
        <v>45839</v>
      </c>
      <c r="B27" s="5" t="s">
        <v>36</v>
      </c>
      <c r="C27" s="5" t="s">
        <v>65</v>
      </c>
      <c r="D27" s="6" t="s">
        <v>59</v>
      </c>
      <c r="E27" s="6"/>
      <c r="F27" s="5" t="s">
        <v>111</v>
      </c>
      <c r="G27" s="10" t="str">
        <f t="shared" si="0"/>
        <v>27AALCB9501D1ZS_BMPL0068</v>
      </c>
      <c r="H27" s="7">
        <v>45843</v>
      </c>
      <c r="I27" s="32">
        <v>1750129.98</v>
      </c>
      <c r="J27" s="32">
        <v>1483161</v>
      </c>
      <c r="K27" s="9">
        <v>18</v>
      </c>
      <c r="L27" s="32">
        <v>0</v>
      </c>
      <c r="M27" s="32">
        <v>133484.49</v>
      </c>
      <c r="N27" s="32">
        <v>133484.49</v>
      </c>
      <c r="O27" s="32"/>
      <c r="P27" t="str">
        <f>VLOOKUP(G27,'GST + Invocie No'!$B$4:$Y$185,24,0)</f>
        <v>Book And 2B Match</v>
      </c>
    </row>
    <row r="28" spans="1:16" x14ac:dyDescent="0.3">
      <c r="A28" s="30">
        <v>45839</v>
      </c>
      <c r="B28" s="5" t="s">
        <v>35</v>
      </c>
      <c r="C28" s="5" t="s">
        <v>64</v>
      </c>
      <c r="D28" s="6" t="s">
        <v>59</v>
      </c>
      <c r="E28" s="6"/>
      <c r="F28" s="5" t="s">
        <v>112</v>
      </c>
      <c r="G28" s="10" t="str">
        <f t="shared" si="0"/>
        <v>08AAECP9085D2Z5_PPSPL/25-26/0357</v>
      </c>
      <c r="H28" s="7">
        <v>45856</v>
      </c>
      <c r="I28" s="32">
        <v>447617.8</v>
      </c>
      <c r="J28" s="32">
        <v>379337.12</v>
      </c>
      <c r="K28" s="9">
        <v>18</v>
      </c>
      <c r="L28" s="32">
        <v>68280.679999999993</v>
      </c>
      <c r="M28" s="32">
        <v>0</v>
      </c>
      <c r="N28" s="32">
        <v>0</v>
      </c>
      <c r="O28" s="32"/>
      <c r="P28" t="str">
        <f>VLOOKUP(G28,'GST + Invocie No'!$B$4:$Y$185,24,0)</f>
        <v>Book And 2B Match</v>
      </c>
    </row>
    <row r="29" spans="1:16" x14ac:dyDescent="0.3">
      <c r="A29" s="30">
        <v>45839</v>
      </c>
      <c r="B29" s="5" t="s">
        <v>38</v>
      </c>
      <c r="C29" s="5" t="s">
        <v>67</v>
      </c>
      <c r="D29" s="6" t="s">
        <v>59</v>
      </c>
      <c r="E29" s="6"/>
      <c r="F29" s="5" t="s">
        <v>113</v>
      </c>
      <c r="G29" s="10" t="str">
        <f t="shared" si="0"/>
        <v>07AAHCT4293N1ZO_TTSPL20250725</v>
      </c>
      <c r="H29" s="7">
        <v>45869</v>
      </c>
      <c r="I29" s="32">
        <v>32723.45</v>
      </c>
      <c r="J29" s="32">
        <v>27731.74</v>
      </c>
      <c r="K29" s="9">
        <v>18</v>
      </c>
      <c r="L29" s="32">
        <v>4991.71</v>
      </c>
      <c r="M29" s="32">
        <v>0</v>
      </c>
      <c r="N29" s="32">
        <v>0</v>
      </c>
      <c r="O29" s="32"/>
      <c r="P29" t="str">
        <f>VLOOKUP(G29,'GST + Invocie No'!$B$4:$Y$185,24,0)</f>
        <v>Book And 2B Match</v>
      </c>
    </row>
    <row r="30" spans="1:16" x14ac:dyDescent="0.3">
      <c r="A30" s="30">
        <v>45839</v>
      </c>
      <c r="B30" s="5" t="s">
        <v>37</v>
      </c>
      <c r="C30" s="5" t="s">
        <v>66</v>
      </c>
      <c r="D30" s="6" t="s">
        <v>59</v>
      </c>
      <c r="E30" s="6"/>
      <c r="F30" s="5" t="s">
        <v>114</v>
      </c>
      <c r="G30" s="10" t="str">
        <f t="shared" si="0"/>
        <v>27AADCD9460D1ZO_25-26/7/227</v>
      </c>
      <c r="H30" s="7">
        <v>45869</v>
      </c>
      <c r="I30" s="32">
        <v>11800</v>
      </c>
      <c r="J30" s="32">
        <v>10000</v>
      </c>
      <c r="K30" s="9">
        <v>18</v>
      </c>
      <c r="L30" s="32">
        <v>0</v>
      </c>
      <c r="M30" s="32">
        <v>900</v>
      </c>
      <c r="N30" s="32">
        <v>900</v>
      </c>
      <c r="O30" s="32"/>
      <c r="P30" t="str">
        <f>VLOOKUP(G30,'GST + Invocie No'!$B$4:$Y$185,24,0)</f>
        <v>Book And 2B Match</v>
      </c>
    </row>
    <row r="31" spans="1:16" x14ac:dyDescent="0.3">
      <c r="A31" s="30">
        <v>45839</v>
      </c>
      <c r="B31" s="5" t="s">
        <v>39</v>
      </c>
      <c r="C31" s="5" t="s">
        <v>68</v>
      </c>
      <c r="D31" s="6" t="s">
        <v>59</v>
      </c>
      <c r="E31" s="6"/>
      <c r="F31" s="5" t="s">
        <v>115</v>
      </c>
      <c r="G31" s="10" t="str">
        <f t="shared" si="0"/>
        <v>27ABDCS7338G1Z4_STPL/25-26/093</v>
      </c>
      <c r="H31" s="7">
        <v>45869</v>
      </c>
      <c r="I31" s="32">
        <v>625685.82000000007</v>
      </c>
      <c r="J31" s="32">
        <v>530242.22</v>
      </c>
      <c r="K31" s="9">
        <v>18</v>
      </c>
      <c r="L31" s="32">
        <v>0</v>
      </c>
      <c r="M31" s="32">
        <v>47721.8</v>
      </c>
      <c r="N31" s="32">
        <v>47721.8</v>
      </c>
      <c r="O31" s="32"/>
      <c r="P31" t="str">
        <f>VLOOKUP(G31,'GST + Invocie No'!$B$4:$Y$185,24,0)</f>
        <v>Book And 2B Match</v>
      </c>
    </row>
    <row r="32" spans="1:16" x14ac:dyDescent="0.3">
      <c r="A32" s="30">
        <v>45870</v>
      </c>
      <c r="B32" s="5" t="s">
        <v>36</v>
      </c>
      <c r="C32" s="5" t="s">
        <v>65</v>
      </c>
      <c r="D32" s="6" t="s">
        <v>59</v>
      </c>
      <c r="E32" s="6"/>
      <c r="F32" s="5" t="s">
        <v>116</v>
      </c>
      <c r="G32" s="10" t="str">
        <f t="shared" si="0"/>
        <v>27AALCB9501D1ZS_BMPL0077</v>
      </c>
      <c r="H32" s="7">
        <v>45870</v>
      </c>
      <c r="I32" s="32">
        <v>489524.54</v>
      </c>
      <c r="J32" s="32">
        <v>414851.3</v>
      </c>
      <c r="K32" s="9">
        <v>18</v>
      </c>
      <c r="L32" s="32">
        <v>0</v>
      </c>
      <c r="M32" s="32">
        <v>37336.620000000003</v>
      </c>
      <c r="N32" s="32">
        <v>37336.620000000003</v>
      </c>
      <c r="O32" s="32"/>
      <c r="P32" t="str">
        <f>VLOOKUP(G32,'GST + Invocie No'!$B$4:$Y$185,24,0)</f>
        <v>Book And 2B Match</v>
      </c>
    </row>
    <row r="33" spans="1:16" x14ac:dyDescent="0.3">
      <c r="A33" s="30">
        <v>45870</v>
      </c>
      <c r="B33" s="5" t="s">
        <v>40</v>
      </c>
      <c r="C33" s="5" t="s">
        <v>69</v>
      </c>
      <c r="D33" s="6" t="s">
        <v>59</v>
      </c>
      <c r="E33" s="6"/>
      <c r="F33" s="5" t="s">
        <v>117</v>
      </c>
      <c r="G33" s="10" t="str">
        <f t="shared" si="0"/>
        <v>27AACCR7740M1ZX_RM/07-25/PP0540</v>
      </c>
      <c r="H33" s="7">
        <v>45869</v>
      </c>
      <c r="I33" s="32">
        <v>417.59000000000003</v>
      </c>
      <c r="J33" s="32">
        <v>353.89</v>
      </c>
      <c r="K33" s="9">
        <v>18</v>
      </c>
      <c r="L33" s="32">
        <v>0</v>
      </c>
      <c r="M33" s="32">
        <v>31.85</v>
      </c>
      <c r="N33" s="32">
        <v>31.85</v>
      </c>
      <c r="O33" s="32"/>
      <c r="P33" t="str">
        <f>VLOOKUP(G33,'GST + Invocie No'!$B$4:$Y$185,24,0)</f>
        <v>Book And 2B Match</v>
      </c>
    </row>
    <row r="34" spans="1:16" x14ac:dyDescent="0.3">
      <c r="A34" s="30">
        <v>45870</v>
      </c>
      <c r="B34" s="5" t="s">
        <v>42</v>
      </c>
      <c r="C34" s="5" t="s">
        <v>71</v>
      </c>
      <c r="D34" s="6" t="s">
        <v>59</v>
      </c>
      <c r="E34" s="6"/>
      <c r="F34" s="5" t="s">
        <v>118</v>
      </c>
      <c r="G34" s="10" t="str">
        <f t="shared" si="0"/>
        <v>08AAPCS9984F1ZG_SWPLJUL25-26/141</v>
      </c>
      <c r="H34" s="7">
        <v>45869</v>
      </c>
      <c r="I34" s="32">
        <v>19470590</v>
      </c>
      <c r="J34" s="32">
        <v>16500500</v>
      </c>
      <c r="K34" s="9">
        <v>18</v>
      </c>
      <c r="L34" s="32">
        <v>2970090</v>
      </c>
      <c r="M34" s="32">
        <v>0</v>
      </c>
      <c r="N34" s="32">
        <v>0</v>
      </c>
      <c r="O34" s="32"/>
      <c r="P34" t="str">
        <f>VLOOKUP(G34,'GST + Invocie No'!$B$4:$Y$185,24,0)</f>
        <v>Book And 2B Match</v>
      </c>
    </row>
    <row r="35" spans="1:16" x14ac:dyDescent="0.3">
      <c r="A35" s="30">
        <v>45870</v>
      </c>
      <c r="B35" s="5" t="s">
        <v>43</v>
      </c>
      <c r="C35" s="5" t="s">
        <v>72</v>
      </c>
      <c r="D35" s="6" t="s">
        <v>59</v>
      </c>
      <c r="E35" s="6"/>
      <c r="F35" s="5" t="s">
        <v>119</v>
      </c>
      <c r="G35" s="10" t="str">
        <f t="shared" si="0"/>
        <v>27AASCA5981H1Z2_AV1001/25-26/01</v>
      </c>
      <c r="H35" s="7">
        <v>45870</v>
      </c>
      <c r="I35" s="32">
        <v>3984251.2299999995</v>
      </c>
      <c r="J35" s="32">
        <v>3376484.09</v>
      </c>
      <c r="K35" s="9">
        <v>18</v>
      </c>
      <c r="L35" s="32">
        <v>0</v>
      </c>
      <c r="M35" s="32">
        <v>303883.57</v>
      </c>
      <c r="N35" s="32">
        <v>303883.57</v>
      </c>
      <c r="O35" s="32"/>
      <c r="P35" t="str">
        <f>VLOOKUP(G35,'GST + Invocie No'!$B$4:$Y$185,24,0)</f>
        <v>Book And 2B Match</v>
      </c>
    </row>
    <row r="36" spans="1:16" x14ac:dyDescent="0.3">
      <c r="A36" s="30">
        <v>45870</v>
      </c>
      <c r="B36" s="5" t="s">
        <v>35</v>
      </c>
      <c r="C36" s="5" t="s">
        <v>64</v>
      </c>
      <c r="D36" s="6" t="s">
        <v>59</v>
      </c>
      <c r="E36" s="6"/>
      <c r="F36" s="5" t="s">
        <v>120</v>
      </c>
      <c r="G36" s="10" t="str">
        <f t="shared" si="0"/>
        <v>08AAECP9085D2Z5_PPSPL/25-26/0415</v>
      </c>
      <c r="H36" s="7">
        <v>45876</v>
      </c>
      <c r="I36" s="32">
        <v>28050.68</v>
      </c>
      <c r="J36" s="32">
        <v>23771.759999999998</v>
      </c>
      <c r="K36" s="9">
        <v>18</v>
      </c>
      <c r="L36" s="32">
        <v>4278.92</v>
      </c>
      <c r="M36" s="32">
        <v>0</v>
      </c>
      <c r="N36" s="32">
        <v>0</v>
      </c>
      <c r="O36" s="32"/>
      <c r="P36" t="str">
        <f>VLOOKUP(G36,'GST + Invocie No'!$B$4:$Y$185,24,0)</f>
        <v>Book And 2B Match</v>
      </c>
    </row>
    <row r="37" spans="1:16" x14ac:dyDescent="0.3">
      <c r="A37" s="30">
        <v>45870</v>
      </c>
      <c r="B37" s="5" t="s">
        <v>44</v>
      </c>
      <c r="C37" s="5" t="s">
        <v>73</v>
      </c>
      <c r="D37" s="6" t="s">
        <v>59</v>
      </c>
      <c r="E37" s="6"/>
      <c r="F37" s="5" t="s">
        <v>121</v>
      </c>
      <c r="G37" s="10" t="str">
        <f t="shared" si="0"/>
        <v>23AAQCM8669N1ZG_MCPL/25-26/20</v>
      </c>
      <c r="H37" s="7">
        <v>45895</v>
      </c>
      <c r="I37" s="32">
        <v>1809288.1</v>
      </c>
      <c r="J37" s="32">
        <v>1533295</v>
      </c>
      <c r="K37" s="9">
        <v>18</v>
      </c>
      <c r="L37" s="32">
        <v>275993.09999999998</v>
      </c>
      <c r="M37" s="32">
        <v>0</v>
      </c>
      <c r="N37" s="32">
        <v>0</v>
      </c>
      <c r="O37" s="32"/>
      <c r="P37" t="str">
        <f>VLOOKUP(G37,'GST + Invocie No'!$B$4:$Y$185,24,0)</f>
        <v>Book And 2B Match</v>
      </c>
    </row>
    <row r="38" spans="1:16" x14ac:dyDescent="0.3">
      <c r="A38" s="30">
        <v>45870</v>
      </c>
      <c r="B38" s="5" t="s">
        <v>39</v>
      </c>
      <c r="C38" s="5" t="s">
        <v>68</v>
      </c>
      <c r="D38" s="6" t="s">
        <v>59</v>
      </c>
      <c r="E38" s="6"/>
      <c r="F38" s="5" t="s">
        <v>122</v>
      </c>
      <c r="G38" s="10" t="str">
        <f t="shared" si="0"/>
        <v>27ABDCS7338G1Z4_STPL/25-26/126</v>
      </c>
      <c r="H38" s="7">
        <v>45900</v>
      </c>
      <c r="I38" s="32">
        <v>435324.25</v>
      </c>
      <c r="J38" s="32">
        <v>368918.85</v>
      </c>
      <c r="K38" s="9">
        <v>18</v>
      </c>
      <c r="L38" s="32">
        <v>0</v>
      </c>
      <c r="M38" s="32">
        <v>33202.699999999997</v>
      </c>
      <c r="N38" s="32">
        <v>33202.699999999997</v>
      </c>
      <c r="O38" s="32"/>
      <c r="P38" t="str">
        <f>VLOOKUP(G38,'GST + Invocie No'!$B$4:$Y$185,24,0)</f>
        <v>Book And 2B Match</v>
      </c>
    </row>
    <row r="39" spans="1:16" x14ac:dyDescent="0.3">
      <c r="A39" s="30">
        <v>45870</v>
      </c>
      <c r="B39" s="5" t="s">
        <v>38</v>
      </c>
      <c r="C39" s="5" t="s">
        <v>67</v>
      </c>
      <c r="D39" s="6" t="s">
        <v>59</v>
      </c>
      <c r="E39" s="6"/>
      <c r="F39" s="5" t="s">
        <v>123</v>
      </c>
      <c r="G39" s="10" t="str">
        <f t="shared" si="0"/>
        <v>07AAHCT4293N1ZO_TTSPL20250822</v>
      </c>
      <c r="H39" s="7">
        <v>45900</v>
      </c>
      <c r="I39" s="32">
        <v>28241.95</v>
      </c>
      <c r="J39" s="32">
        <v>23933.86</v>
      </c>
      <c r="K39" s="9">
        <v>18</v>
      </c>
      <c r="L39" s="32">
        <v>4308.09</v>
      </c>
      <c r="M39" s="32">
        <v>0</v>
      </c>
      <c r="N39" s="32">
        <v>0</v>
      </c>
      <c r="O39" s="32"/>
      <c r="P39" t="str">
        <f>VLOOKUP(G39,'GST + Invocie No'!$B$4:$Y$185,24,0)</f>
        <v>Book And 2B Match</v>
      </c>
    </row>
    <row r="40" spans="1:16" x14ac:dyDescent="0.3">
      <c r="A40" s="30">
        <v>45870</v>
      </c>
      <c r="B40" s="5" t="s">
        <v>37</v>
      </c>
      <c r="C40" s="5" t="s">
        <v>66</v>
      </c>
      <c r="D40" s="6" t="s">
        <v>59</v>
      </c>
      <c r="E40" s="6"/>
      <c r="F40" s="5" t="s">
        <v>124</v>
      </c>
      <c r="G40" s="10" t="str">
        <f t="shared" si="0"/>
        <v>27AADCD9460D1ZO_25-26/8/247</v>
      </c>
      <c r="H40" s="7">
        <v>45900</v>
      </c>
      <c r="I40" s="32">
        <v>11800</v>
      </c>
      <c r="J40" s="32">
        <v>10000</v>
      </c>
      <c r="K40" s="9">
        <v>18</v>
      </c>
      <c r="L40" s="32">
        <v>0</v>
      </c>
      <c r="M40" s="32">
        <v>900</v>
      </c>
      <c r="N40" s="32">
        <v>900</v>
      </c>
      <c r="O40" s="32"/>
      <c r="P40" t="str">
        <f>VLOOKUP(G40,'GST + Invocie No'!$B$4:$Y$185,24,0)</f>
        <v>Book And 2B Match</v>
      </c>
    </row>
    <row r="41" spans="1:16" x14ac:dyDescent="0.3">
      <c r="A41" s="30">
        <v>45901</v>
      </c>
      <c r="B41" s="5" t="s">
        <v>40</v>
      </c>
      <c r="C41" s="5" t="s">
        <v>69</v>
      </c>
      <c r="D41" s="6" t="s">
        <v>59</v>
      </c>
      <c r="E41" s="6"/>
      <c r="F41" s="5" t="s">
        <v>125</v>
      </c>
      <c r="G41" s="10" t="str">
        <f t="shared" si="0"/>
        <v>27AACCR7740M1ZX_RM/08-25/PP0517</v>
      </c>
      <c r="H41" s="7">
        <v>45900</v>
      </c>
      <c r="I41" s="32">
        <v>519.89</v>
      </c>
      <c r="J41" s="32">
        <v>440.59</v>
      </c>
      <c r="K41" s="9">
        <v>18</v>
      </c>
      <c r="L41" s="32">
        <v>0</v>
      </c>
      <c r="M41" s="32">
        <v>39.65</v>
      </c>
      <c r="N41" s="32">
        <v>39.65</v>
      </c>
      <c r="O41" s="32"/>
      <c r="P41" t="str">
        <f>VLOOKUP(G41,'GST + Invocie No'!$B$4:$Y$185,24,0)</f>
        <v>Book And 2B Match</v>
      </c>
    </row>
    <row r="42" spans="1:16" x14ac:dyDescent="0.3">
      <c r="A42" s="30">
        <v>45901</v>
      </c>
      <c r="B42" s="5" t="s">
        <v>44</v>
      </c>
      <c r="C42" s="5" t="s">
        <v>73</v>
      </c>
      <c r="D42" s="6" t="s">
        <v>59</v>
      </c>
      <c r="E42" s="6"/>
      <c r="F42" s="5" t="s">
        <v>126</v>
      </c>
      <c r="G42" s="10" t="str">
        <f t="shared" si="0"/>
        <v>23AAQCM8669N1ZG_MCPL/25-26/24</v>
      </c>
      <c r="H42" s="7">
        <v>45901</v>
      </c>
      <c r="I42" s="32">
        <v>612930.15999999992</v>
      </c>
      <c r="J42" s="32">
        <v>519432.16</v>
      </c>
      <c r="K42" s="9">
        <v>18</v>
      </c>
      <c r="L42" s="32">
        <v>93498</v>
      </c>
      <c r="M42" s="32">
        <v>0</v>
      </c>
      <c r="N42" s="32">
        <v>0</v>
      </c>
      <c r="O42" s="32"/>
      <c r="P42" t="str">
        <f>VLOOKUP(G42,'GST + Invocie No'!$B$4:$Y$185,24,0)</f>
        <v>Book And 2B Match</v>
      </c>
    </row>
    <row r="43" spans="1:16" x14ac:dyDescent="0.3">
      <c r="A43" s="30">
        <v>45901</v>
      </c>
      <c r="B43" s="5" t="s">
        <v>34</v>
      </c>
      <c r="C43" s="5" t="s">
        <v>63</v>
      </c>
      <c r="D43" s="6" t="s">
        <v>59</v>
      </c>
      <c r="E43" s="6"/>
      <c r="F43" s="5" t="s">
        <v>127</v>
      </c>
      <c r="G43" s="10" t="str">
        <f t="shared" si="0"/>
        <v>27AAICT8273F1ZY_TW/2025-26/1076</v>
      </c>
      <c r="H43" s="7">
        <v>45901</v>
      </c>
      <c r="I43" s="32">
        <v>28.58</v>
      </c>
      <c r="J43" s="32">
        <v>24.22</v>
      </c>
      <c r="K43" s="9">
        <v>18</v>
      </c>
      <c r="L43" s="32">
        <v>0</v>
      </c>
      <c r="M43" s="32">
        <v>2.1800000000000002</v>
      </c>
      <c r="N43" s="32">
        <v>2.1800000000000002</v>
      </c>
      <c r="O43" s="32"/>
      <c r="P43" t="str">
        <f>VLOOKUP(G43,'GST + Invocie No'!$B$4:$Y$185,24,0)</f>
        <v>Book And 2B Match</v>
      </c>
    </row>
    <row r="44" spans="1:16" x14ac:dyDescent="0.3">
      <c r="A44" s="30">
        <v>45901</v>
      </c>
      <c r="B44" s="5" t="s">
        <v>36</v>
      </c>
      <c r="C44" s="5" t="s">
        <v>65</v>
      </c>
      <c r="D44" s="6" t="s">
        <v>59</v>
      </c>
      <c r="E44" s="6"/>
      <c r="F44" s="5" t="s">
        <v>128</v>
      </c>
      <c r="G44" s="10" t="str">
        <f t="shared" si="0"/>
        <v>27AALCB9501D1ZS_BMPL0090</v>
      </c>
      <c r="H44" s="7">
        <v>45906</v>
      </c>
      <c r="I44" s="32">
        <v>64873.950000000004</v>
      </c>
      <c r="J44" s="32">
        <v>54977.93</v>
      </c>
      <c r="K44" s="9">
        <v>18</v>
      </c>
      <c r="L44" s="32">
        <v>0</v>
      </c>
      <c r="M44" s="32">
        <v>4948.01</v>
      </c>
      <c r="N44" s="32">
        <v>4948.01</v>
      </c>
      <c r="O44" s="32"/>
      <c r="P44" t="str">
        <f>VLOOKUP(G44,'GST + Invocie No'!$B$4:$Y$185,24,0)</f>
        <v>Book And 2B Match</v>
      </c>
    </row>
    <row r="45" spans="1:16" x14ac:dyDescent="0.3">
      <c r="A45" s="30">
        <v>45901</v>
      </c>
      <c r="B45" s="5" t="s">
        <v>38</v>
      </c>
      <c r="C45" s="5" t="s">
        <v>67</v>
      </c>
      <c r="D45" s="6" t="s">
        <v>59</v>
      </c>
      <c r="E45" s="6"/>
      <c r="F45" s="5" t="s">
        <v>129</v>
      </c>
      <c r="G45" s="10" t="str">
        <f t="shared" si="0"/>
        <v>07AAHCT4293N1ZO_TTSPL20250930</v>
      </c>
      <c r="H45" s="7">
        <v>45930</v>
      </c>
      <c r="I45" s="32">
        <v>26325.550000000003</v>
      </c>
      <c r="J45" s="32">
        <v>22309.79</v>
      </c>
      <c r="K45" s="9">
        <v>18</v>
      </c>
      <c r="L45" s="32">
        <v>4015.76</v>
      </c>
      <c r="M45" s="32">
        <v>0</v>
      </c>
      <c r="N45" s="32">
        <v>0</v>
      </c>
      <c r="O45" s="32"/>
      <c r="P45" t="str">
        <f>VLOOKUP(G45,'GST + Invocie No'!$B$4:$Y$185,24,0)</f>
        <v>Book And 2B Match</v>
      </c>
    </row>
    <row r="46" spans="1:16" x14ac:dyDescent="0.3">
      <c r="A46" s="30">
        <v>45901</v>
      </c>
      <c r="B46" s="5" t="s">
        <v>40</v>
      </c>
      <c r="C46" s="5" t="s">
        <v>69</v>
      </c>
      <c r="D46" s="6" t="s">
        <v>59</v>
      </c>
      <c r="E46" s="6"/>
      <c r="F46" s="5" t="s">
        <v>130</v>
      </c>
      <c r="G46" s="10" t="str">
        <f t="shared" si="0"/>
        <v>27AACCR7740M1ZX_RM/09-25/PP0595</v>
      </c>
      <c r="H46" s="7">
        <v>45930</v>
      </c>
      <c r="I46" s="32">
        <v>640.78</v>
      </c>
      <c r="J46" s="32">
        <v>543.04</v>
      </c>
      <c r="K46" s="9">
        <v>18</v>
      </c>
      <c r="L46" s="32">
        <v>0</v>
      </c>
      <c r="M46" s="32">
        <v>48.87</v>
      </c>
      <c r="N46" s="32">
        <v>48.87</v>
      </c>
      <c r="O46" s="32"/>
      <c r="P46" t="str">
        <f>VLOOKUP(G46,'GST + Invocie No'!$B$4:$Y$185,24,0)</f>
        <v>Book And 2B Match</v>
      </c>
    </row>
    <row r="47" spans="1:16" x14ac:dyDescent="0.3">
      <c r="A47" s="30">
        <v>45901</v>
      </c>
      <c r="B47" s="5" t="s">
        <v>37</v>
      </c>
      <c r="C47" s="5" t="s">
        <v>66</v>
      </c>
      <c r="D47" s="6" t="s">
        <v>59</v>
      </c>
      <c r="E47" s="6"/>
      <c r="F47" s="5" t="s">
        <v>131</v>
      </c>
      <c r="G47" s="10" t="str">
        <f t="shared" si="0"/>
        <v>27AADCD9460D1ZO_25-26/9/258</v>
      </c>
      <c r="H47" s="7">
        <v>45930</v>
      </c>
      <c r="I47" s="32">
        <v>11800</v>
      </c>
      <c r="J47" s="32">
        <v>10000</v>
      </c>
      <c r="K47" s="9">
        <v>18</v>
      </c>
      <c r="L47" s="32">
        <v>0</v>
      </c>
      <c r="M47" s="32">
        <v>900</v>
      </c>
      <c r="N47" s="32">
        <v>900</v>
      </c>
      <c r="O47" s="32"/>
      <c r="P47" t="str">
        <f>VLOOKUP(G47,'GST + Invocie No'!$B$4:$Y$185,24,0)</f>
        <v>Book And 2B Match</v>
      </c>
    </row>
    <row r="48" spans="1:16" x14ac:dyDescent="0.3">
      <c r="A48" s="30">
        <v>45901</v>
      </c>
      <c r="B48" s="5" t="s">
        <v>39</v>
      </c>
      <c r="C48" s="5" t="s">
        <v>68</v>
      </c>
      <c r="D48" s="6" t="s">
        <v>59</v>
      </c>
      <c r="E48" s="6"/>
      <c r="F48" s="5" t="s">
        <v>132</v>
      </c>
      <c r="G48" s="10" t="str">
        <f t="shared" si="0"/>
        <v>27ABDCS7338G1Z4_STPL/25-26/153</v>
      </c>
      <c r="H48" s="7">
        <v>45930</v>
      </c>
      <c r="I48" s="32">
        <v>527019.03</v>
      </c>
      <c r="J48" s="32">
        <v>446626.29</v>
      </c>
      <c r="K48" s="9">
        <v>18</v>
      </c>
      <c r="L48" s="32">
        <v>0</v>
      </c>
      <c r="M48" s="32">
        <v>40196.370000000003</v>
      </c>
      <c r="N48" s="32">
        <v>40196.370000000003</v>
      </c>
      <c r="O48" s="32"/>
      <c r="P48" t="str">
        <f>VLOOKUP(G48,'GST + Invocie No'!$B$4:$Y$185,24,0)</f>
        <v>Book And 2B Match</v>
      </c>
    </row>
    <row r="49" spans="1:16" x14ac:dyDescent="0.3">
      <c r="A49" s="30">
        <v>45931</v>
      </c>
      <c r="B49" s="5" t="s">
        <v>34</v>
      </c>
      <c r="C49" s="5" t="s">
        <v>63</v>
      </c>
      <c r="D49" s="6" t="s">
        <v>59</v>
      </c>
      <c r="E49" s="6"/>
      <c r="F49" s="5" t="s">
        <v>133</v>
      </c>
      <c r="G49" s="10" t="str">
        <f t="shared" si="0"/>
        <v>27AAICT8273F1ZY_TW/2025-26/1086</v>
      </c>
      <c r="H49" s="7">
        <v>45931</v>
      </c>
      <c r="I49" s="32">
        <v>60.42</v>
      </c>
      <c r="J49" s="32">
        <v>51.2</v>
      </c>
      <c r="K49" s="9">
        <v>18</v>
      </c>
      <c r="L49" s="32">
        <v>0</v>
      </c>
      <c r="M49" s="32">
        <v>4.6100000000000003</v>
      </c>
      <c r="N49" s="32">
        <v>4.6100000000000003</v>
      </c>
      <c r="O49" s="32"/>
      <c r="P49" t="str">
        <f>VLOOKUP(G49,'GST + Invocie No'!$B$4:$Y$185,24,0)</f>
        <v>Book And 2B Match</v>
      </c>
    </row>
    <row r="50" spans="1:16" x14ac:dyDescent="0.3">
      <c r="A50" s="30">
        <v>45931</v>
      </c>
      <c r="B50" s="5" t="s">
        <v>36</v>
      </c>
      <c r="C50" s="5" t="s">
        <v>65</v>
      </c>
      <c r="D50" s="6" t="s">
        <v>59</v>
      </c>
      <c r="E50" s="6"/>
      <c r="F50" s="5" t="s">
        <v>134</v>
      </c>
      <c r="G50" s="10" t="str">
        <f t="shared" si="0"/>
        <v>27AALCB9501D1ZS_BMPL0099</v>
      </c>
      <c r="H50" s="7">
        <v>45932</v>
      </c>
      <c r="I50" s="32">
        <v>1854395.13</v>
      </c>
      <c r="J50" s="32">
        <v>1571521.29</v>
      </c>
      <c r="K50" s="9">
        <v>18</v>
      </c>
      <c r="L50" s="32">
        <v>0</v>
      </c>
      <c r="M50" s="32">
        <v>141436.92000000001</v>
      </c>
      <c r="N50" s="32">
        <v>141436.92000000001</v>
      </c>
      <c r="O50" s="32"/>
      <c r="P50" t="str">
        <f>VLOOKUP(G50,'GST + Invocie No'!$B$4:$Y$185,24,0)</f>
        <v>Book And 2B Match</v>
      </c>
    </row>
    <row r="51" spans="1:16" x14ac:dyDescent="0.3">
      <c r="A51" s="30">
        <v>45931</v>
      </c>
      <c r="B51" s="5" t="s">
        <v>37</v>
      </c>
      <c r="C51" s="5" t="s">
        <v>66</v>
      </c>
      <c r="D51" s="6" t="s">
        <v>59</v>
      </c>
      <c r="E51" s="6"/>
      <c r="F51" s="5" t="s">
        <v>135</v>
      </c>
      <c r="G51" s="10" t="str">
        <f t="shared" si="0"/>
        <v>27AADCD9460D1ZO_25-26/10/217</v>
      </c>
      <c r="H51" s="7">
        <v>45961</v>
      </c>
      <c r="I51" s="32">
        <v>11800</v>
      </c>
      <c r="J51" s="32">
        <v>10000</v>
      </c>
      <c r="K51" s="9">
        <v>18</v>
      </c>
      <c r="L51" s="32">
        <v>0</v>
      </c>
      <c r="M51" s="32">
        <v>900</v>
      </c>
      <c r="N51" s="32">
        <v>900</v>
      </c>
      <c r="O51" s="32"/>
      <c r="P51" t="str">
        <f>VLOOKUP(G51,'GST + Invocie No'!$B$4:$Y$185,24,0)</f>
        <v>Book And 2B Match</v>
      </c>
    </row>
    <row r="52" spans="1:16" x14ac:dyDescent="0.3">
      <c r="A52" s="30">
        <v>45931</v>
      </c>
      <c r="B52" s="5" t="s">
        <v>38</v>
      </c>
      <c r="C52" s="5" t="s">
        <v>67</v>
      </c>
      <c r="D52" s="6" t="s">
        <v>59</v>
      </c>
      <c r="E52" s="6"/>
      <c r="F52" s="5" t="s">
        <v>136</v>
      </c>
      <c r="G52" s="10" t="str">
        <f t="shared" si="0"/>
        <v>07AAHCT4293N1ZO_TTSPL20251023</v>
      </c>
      <c r="H52" s="7">
        <v>45961</v>
      </c>
      <c r="I52" s="32">
        <v>25084.910000000003</v>
      </c>
      <c r="J52" s="32">
        <v>21258.400000000001</v>
      </c>
      <c r="K52" s="9">
        <v>18</v>
      </c>
      <c r="L52" s="32">
        <v>3826.51</v>
      </c>
      <c r="M52" s="32">
        <v>0</v>
      </c>
      <c r="N52" s="32">
        <v>0</v>
      </c>
      <c r="O52" s="32"/>
      <c r="P52" t="str">
        <f>VLOOKUP(G52,'GST + Invocie No'!$B$4:$Y$185,24,0)</f>
        <v>Book And 2B Match</v>
      </c>
    </row>
    <row r="53" spans="1:16" x14ac:dyDescent="0.3">
      <c r="A53" s="30">
        <v>45931</v>
      </c>
      <c r="B53" s="5" t="s">
        <v>39</v>
      </c>
      <c r="C53" s="5" t="s">
        <v>68</v>
      </c>
      <c r="D53" s="6" t="s">
        <v>59</v>
      </c>
      <c r="E53" s="6"/>
      <c r="F53" s="5" t="s">
        <v>137</v>
      </c>
      <c r="G53" s="10" t="str">
        <f t="shared" si="0"/>
        <v>27ABDCS7338G1Z4_STPL-25-26/179</v>
      </c>
      <c r="H53" s="7">
        <v>45961</v>
      </c>
      <c r="I53" s="32">
        <v>277809.55</v>
      </c>
      <c r="J53" s="32">
        <v>235431.83</v>
      </c>
      <c r="K53" s="9">
        <v>18</v>
      </c>
      <c r="L53" s="32">
        <v>0</v>
      </c>
      <c r="M53" s="32">
        <v>21188.86</v>
      </c>
      <c r="N53" s="32">
        <v>21188.86</v>
      </c>
      <c r="O53" s="32"/>
      <c r="P53" t="str">
        <f>VLOOKUP(G53,'GST + Invocie No'!$B$4:$Y$185,24,0)</f>
        <v>Book And 2B Match</v>
      </c>
    </row>
    <row r="54" spans="1:16" x14ac:dyDescent="0.3">
      <c r="A54" s="30">
        <v>45962</v>
      </c>
      <c r="B54" s="5" t="s">
        <v>44</v>
      </c>
      <c r="C54" s="5" t="s">
        <v>73</v>
      </c>
      <c r="D54" s="6" t="s">
        <v>59</v>
      </c>
      <c r="E54" s="6"/>
      <c r="F54" s="5" t="s">
        <v>138</v>
      </c>
      <c r="G54" s="10" t="str">
        <f t="shared" si="0"/>
        <v>23AAQCM8669N1ZG_MCPL/25-26/41</v>
      </c>
      <c r="H54" s="7">
        <v>45962</v>
      </c>
      <c r="I54" s="32">
        <v>550065.48</v>
      </c>
      <c r="J54" s="32">
        <v>466156.48</v>
      </c>
      <c r="K54" s="9">
        <v>18</v>
      </c>
      <c r="L54" s="32">
        <v>83909</v>
      </c>
      <c r="M54" s="32">
        <v>0</v>
      </c>
      <c r="N54" s="32">
        <v>0</v>
      </c>
      <c r="O54" s="32"/>
      <c r="P54" t="str">
        <f>VLOOKUP(G54,'GST + Invocie No'!$B$4:$Y$185,24,0)</f>
        <v>Book And 2B Match</v>
      </c>
    </row>
    <row r="55" spans="1:16" x14ac:dyDescent="0.3">
      <c r="A55" s="30">
        <v>45962</v>
      </c>
      <c r="B55" s="5" t="s">
        <v>36</v>
      </c>
      <c r="C55" s="5" t="s">
        <v>65</v>
      </c>
      <c r="D55" s="6" t="s">
        <v>59</v>
      </c>
      <c r="E55" s="6"/>
      <c r="F55" s="5" t="s">
        <v>139</v>
      </c>
      <c r="G55" s="10" t="str">
        <f t="shared" si="0"/>
        <v>27AALCB9501D1ZS_BMPL0109</v>
      </c>
      <c r="H55" s="7">
        <v>45964</v>
      </c>
      <c r="I55" s="32">
        <v>2271965.3100000005</v>
      </c>
      <c r="J55" s="32">
        <v>1925394.33</v>
      </c>
      <c r="K55" s="9">
        <v>18</v>
      </c>
      <c r="L55" s="32">
        <v>0</v>
      </c>
      <c r="M55" s="32">
        <v>173285.49</v>
      </c>
      <c r="N55" s="32">
        <v>173285.49</v>
      </c>
      <c r="O55" s="32"/>
      <c r="P55" t="str">
        <f>VLOOKUP(G55,'GST + Invocie No'!$B$4:$Y$185,24,0)</f>
        <v>Book And 2B Match</v>
      </c>
    </row>
    <row r="56" spans="1:16" x14ac:dyDescent="0.3">
      <c r="A56" s="30">
        <v>45962</v>
      </c>
      <c r="B56" s="5" t="s">
        <v>40</v>
      </c>
      <c r="C56" s="5" t="s">
        <v>69</v>
      </c>
      <c r="D56" s="6" t="s">
        <v>59</v>
      </c>
      <c r="E56" s="6"/>
      <c r="F56" s="5" t="s">
        <v>140</v>
      </c>
      <c r="G56" s="10" t="str">
        <f t="shared" si="0"/>
        <v>27AACCR7740M1ZX_RM/11-25/PP0360</v>
      </c>
      <c r="H56" s="7">
        <v>45982</v>
      </c>
      <c r="I56" s="32">
        <v>1062202.25</v>
      </c>
      <c r="J56" s="32">
        <v>900171.39</v>
      </c>
      <c r="K56" s="9">
        <v>18</v>
      </c>
      <c r="L56" s="32">
        <v>0</v>
      </c>
      <c r="M56" s="32">
        <v>81015.429999999993</v>
      </c>
      <c r="N56" s="32">
        <v>81015.429999999993</v>
      </c>
      <c r="O56" s="32"/>
      <c r="P56" t="str">
        <f>VLOOKUP(G56,'GST + Invocie No'!$B$4:$Y$185,24,0)</f>
        <v>Book And 2B Match</v>
      </c>
    </row>
    <row r="57" spans="1:16" x14ac:dyDescent="0.3">
      <c r="A57" s="30">
        <v>45962</v>
      </c>
      <c r="B57" s="5" t="s">
        <v>37</v>
      </c>
      <c r="C57" s="5" t="s">
        <v>66</v>
      </c>
      <c r="D57" s="6" t="s">
        <v>59</v>
      </c>
      <c r="E57" s="6"/>
      <c r="F57" s="5" t="s">
        <v>141</v>
      </c>
      <c r="G57" s="10" t="str">
        <f t="shared" si="0"/>
        <v>27AADCD9460D1ZO_25-26/11/256</v>
      </c>
      <c r="H57" s="7">
        <v>45990</v>
      </c>
      <c r="I57" s="32">
        <v>11800</v>
      </c>
      <c r="J57" s="32">
        <v>10000</v>
      </c>
      <c r="K57" s="9">
        <v>18</v>
      </c>
      <c r="L57" s="32">
        <v>0</v>
      </c>
      <c r="M57" s="32">
        <v>900</v>
      </c>
      <c r="N57" s="32">
        <v>900</v>
      </c>
      <c r="O57" s="32"/>
      <c r="P57" t="str">
        <f>VLOOKUP(G57,'GST + Invocie No'!$B$4:$Y$185,24,0)</f>
        <v>Book And 2B Match</v>
      </c>
    </row>
    <row r="58" spans="1:16" x14ac:dyDescent="0.3">
      <c r="A58" s="30">
        <v>45962</v>
      </c>
      <c r="B58" s="5" t="s">
        <v>38</v>
      </c>
      <c r="C58" s="5" t="s">
        <v>67</v>
      </c>
      <c r="D58" s="6" t="s">
        <v>59</v>
      </c>
      <c r="E58" s="6"/>
      <c r="F58" s="5" t="s">
        <v>142</v>
      </c>
      <c r="G58" s="10" t="str">
        <f t="shared" si="0"/>
        <v>07AAHCT4293N1ZO_TTSPL20251114</v>
      </c>
      <c r="H58" s="7">
        <v>45991</v>
      </c>
      <c r="I58" s="32">
        <v>24172.019999999997</v>
      </c>
      <c r="J58" s="32">
        <v>20484.759999999998</v>
      </c>
      <c r="K58" s="9">
        <v>18</v>
      </c>
      <c r="L58" s="32">
        <v>3687.26</v>
      </c>
      <c r="M58" s="32">
        <v>0</v>
      </c>
      <c r="N58" s="32">
        <v>0</v>
      </c>
      <c r="O58" s="32"/>
      <c r="P58" t="str">
        <f>VLOOKUP(G58,'GST + Invocie No'!$B$4:$Y$185,24,0)</f>
        <v>Book And 2B Match</v>
      </c>
    </row>
    <row r="59" spans="1:16" x14ac:dyDescent="0.3">
      <c r="A59" s="30">
        <v>45962</v>
      </c>
      <c r="B59" s="5" t="s">
        <v>39</v>
      </c>
      <c r="C59" s="5" t="s">
        <v>68</v>
      </c>
      <c r="D59" s="6" t="s">
        <v>59</v>
      </c>
      <c r="E59" s="6"/>
      <c r="F59" s="5" t="s">
        <v>143</v>
      </c>
      <c r="G59" s="10" t="str">
        <f t="shared" si="0"/>
        <v>27ABDCS7338G1Z4_STPL/25-26/206</v>
      </c>
      <c r="H59" s="7">
        <v>45991</v>
      </c>
      <c r="I59" s="32">
        <v>67299.83</v>
      </c>
      <c r="J59" s="32">
        <v>57033.75</v>
      </c>
      <c r="K59" s="9">
        <v>18</v>
      </c>
      <c r="L59" s="32">
        <v>0</v>
      </c>
      <c r="M59" s="32">
        <v>5133.04</v>
      </c>
      <c r="N59" s="32">
        <v>5133.04</v>
      </c>
      <c r="O59" s="32"/>
      <c r="P59" t="str">
        <f>VLOOKUP(G59,'GST + Invocie No'!$B$4:$Y$185,24,0)</f>
        <v>Book And 2B Match</v>
      </c>
    </row>
    <row r="60" spans="1:16" x14ac:dyDescent="0.3">
      <c r="A60" s="30">
        <v>45992</v>
      </c>
      <c r="B60" s="5" t="s">
        <v>45</v>
      </c>
      <c r="C60" s="5" t="s">
        <v>74</v>
      </c>
      <c r="D60" s="6" t="s">
        <v>59</v>
      </c>
      <c r="E60" s="6"/>
      <c r="F60" s="5" t="s">
        <v>144</v>
      </c>
      <c r="G60" s="10" t="str">
        <f t="shared" si="0"/>
        <v>09AACCO0905F2ZR_ONEX25-26/12/142</v>
      </c>
      <c r="H60" s="7">
        <v>45993</v>
      </c>
      <c r="I60" s="32">
        <v>41710175.020000003</v>
      </c>
      <c r="J60" s="32">
        <v>35347605.950000003</v>
      </c>
      <c r="K60" s="9">
        <v>18</v>
      </c>
      <c r="L60" s="32">
        <v>6362569.0700000003</v>
      </c>
      <c r="M60" s="32">
        <v>0</v>
      </c>
      <c r="N60" s="32">
        <v>0</v>
      </c>
      <c r="O60" s="32"/>
      <c r="P60" t="str">
        <f>VLOOKUP(G60,'GST + Invocie No'!$B$4:$Y$185,24,0)</f>
        <v>Book And 2B Match</v>
      </c>
    </row>
    <row r="61" spans="1:16" x14ac:dyDescent="0.3">
      <c r="A61" s="30">
        <v>45992</v>
      </c>
      <c r="B61" s="5" t="s">
        <v>37</v>
      </c>
      <c r="C61" s="5" t="s">
        <v>66</v>
      </c>
      <c r="D61" s="6" t="s">
        <v>59</v>
      </c>
      <c r="E61" s="6"/>
      <c r="F61" s="5" t="s">
        <v>145</v>
      </c>
      <c r="G61" s="10" t="str">
        <f t="shared" si="0"/>
        <v>27AADCD9460D1ZO_25-26/12/63</v>
      </c>
      <c r="H61" s="7">
        <v>46000</v>
      </c>
      <c r="I61" s="32">
        <v>2748280.0700000003</v>
      </c>
      <c r="J61" s="32">
        <v>2329050.91</v>
      </c>
      <c r="K61" s="9">
        <v>18</v>
      </c>
      <c r="L61" s="32">
        <v>0</v>
      </c>
      <c r="M61" s="32">
        <v>209614.58</v>
      </c>
      <c r="N61" s="32">
        <v>209614.58</v>
      </c>
      <c r="O61" s="32"/>
      <c r="P61" t="str">
        <f>VLOOKUP(G61,'GST + Invocie No'!$B$4:$Y$185,24,0)</f>
        <v>Book And 2B Match</v>
      </c>
    </row>
    <row r="62" spans="1:16" x14ac:dyDescent="0.3">
      <c r="A62" s="30">
        <v>45992</v>
      </c>
      <c r="B62" s="5" t="s">
        <v>36</v>
      </c>
      <c r="C62" s="5" t="s">
        <v>65</v>
      </c>
      <c r="D62" s="6" t="s">
        <v>59</v>
      </c>
      <c r="E62" s="6"/>
      <c r="F62" s="5" t="s">
        <v>146</v>
      </c>
      <c r="G62" s="10" t="str">
        <f t="shared" si="0"/>
        <v>27AALCB9501D1ZS_BMPL0121</v>
      </c>
      <c r="H62" s="7">
        <v>45997</v>
      </c>
      <c r="I62" s="32">
        <v>1184700.23</v>
      </c>
      <c r="J62" s="32">
        <v>1003983.25</v>
      </c>
      <c r="K62" s="9">
        <v>18</v>
      </c>
      <c r="L62" s="32">
        <v>0</v>
      </c>
      <c r="M62" s="32">
        <v>90358.49</v>
      </c>
      <c r="N62" s="32">
        <v>90358.49</v>
      </c>
      <c r="O62" s="32"/>
      <c r="P62" t="str">
        <f>VLOOKUP(G62,'GST + Invocie No'!$B$4:$Y$185,24,0)</f>
        <v>Book And 2B Match</v>
      </c>
    </row>
    <row r="63" spans="1:16" x14ac:dyDescent="0.3">
      <c r="A63" s="30">
        <v>45992</v>
      </c>
      <c r="B63" s="5" t="s">
        <v>44</v>
      </c>
      <c r="C63" s="5" t="s">
        <v>73</v>
      </c>
      <c r="D63" s="6" t="s">
        <v>59</v>
      </c>
      <c r="E63" s="6"/>
      <c r="F63" s="5" t="s">
        <v>147</v>
      </c>
      <c r="G63" s="10" t="str">
        <f t="shared" si="0"/>
        <v>23AAQCM8669N1ZG_MCPL/25-26/49</v>
      </c>
      <c r="H63" s="7">
        <v>46003</v>
      </c>
      <c r="I63" s="32">
        <v>317270.39</v>
      </c>
      <c r="J63" s="32">
        <v>268872.39</v>
      </c>
      <c r="K63" s="9">
        <v>18</v>
      </c>
      <c r="L63" s="32">
        <v>48398</v>
      </c>
      <c r="M63" s="32">
        <v>0</v>
      </c>
      <c r="N63" s="32">
        <v>0</v>
      </c>
      <c r="O63" s="32"/>
      <c r="P63" t="str">
        <f>VLOOKUP(G63,'GST + Invocie No'!$B$4:$Y$185,24,0)</f>
        <v>Book And 2B Match</v>
      </c>
    </row>
    <row r="64" spans="1:16" x14ac:dyDescent="0.3">
      <c r="A64" s="30">
        <v>45992</v>
      </c>
      <c r="B64" s="5" t="s">
        <v>46</v>
      </c>
      <c r="C64" s="5" t="s">
        <v>75</v>
      </c>
      <c r="D64" s="6" t="s">
        <v>59</v>
      </c>
      <c r="E64" s="6"/>
      <c r="F64" s="5" t="s">
        <v>148</v>
      </c>
      <c r="G64" s="10" t="str">
        <f t="shared" si="0"/>
        <v>06AAKCG3365R1ZX_RC-3126</v>
      </c>
      <c r="H64" s="7">
        <v>46009</v>
      </c>
      <c r="I64" s="32">
        <v>88500</v>
      </c>
      <c r="J64" s="32">
        <v>75000</v>
      </c>
      <c r="K64" s="9">
        <v>18</v>
      </c>
      <c r="L64" s="32">
        <v>13500</v>
      </c>
      <c r="M64" s="32">
        <v>0</v>
      </c>
      <c r="N64" s="32">
        <v>0</v>
      </c>
      <c r="O64" s="32"/>
      <c r="P64" t="str">
        <f>VLOOKUP(G64,'GST + Invocie No'!$B$4:$Y$185,24,0)</f>
        <v>Book And 2B Match</v>
      </c>
    </row>
    <row r="65" spans="1:16" x14ac:dyDescent="0.3">
      <c r="A65" s="30">
        <v>45992</v>
      </c>
      <c r="B65" s="5" t="s">
        <v>37</v>
      </c>
      <c r="C65" s="5" t="s">
        <v>66</v>
      </c>
      <c r="D65" s="6" t="s">
        <v>59</v>
      </c>
      <c r="E65" s="6"/>
      <c r="F65" s="5" t="s">
        <v>149</v>
      </c>
      <c r="G65" s="10" t="str">
        <f t="shared" si="0"/>
        <v>27AADCD9460D1ZO_25-26/12/270</v>
      </c>
      <c r="H65" s="7">
        <v>46022</v>
      </c>
      <c r="I65" s="32">
        <v>11800</v>
      </c>
      <c r="J65" s="32">
        <v>10000</v>
      </c>
      <c r="K65" s="9">
        <v>18</v>
      </c>
      <c r="L65" s="32">
        <v>0</v>
      </c>
      <c r="M65" s="32">
        <v>900</v>
      </c>
      <c r="N65" s="32">
        <v>900</v>
      </c>
      <c r="O65" s="32"/>
      <c r="P65" t="str">
        <f>VLOOKUP(G65,'GST + Invocie No'!$B$4:$Y$185,24,0)</f>
        <v>Book And 2B Match</v>
      </c>
    </row>
    <row r="66" spans="1:16" x14ac:dyDescent="0.3">
      <c r="A66" s="30">
        <v>45992</v>
      </c>
      <c r="B66" s="5" t="s">
        <v>39</v>
      </c>
      <c r="C66" s="5" t="s">
        <v>68</v>
      </c>
      <c r="D66" s="6" t="s">
        <v>59</v>
      </c>
      <c r="E66" s="6"/>
      <c r="F66" s="5" t="s">
        <v>150</v>
      </c>
      <c r="G66" s="10" t="str">
        <f t="shared" si="0"/>
        <v>27ABDCS7338G1Z4_STPL/25-26/231</v>
      </c>
      <c r="H66" s="7">
        <v>46022</v>
      </c>
      <c r="I66" s="32">
        <v>187225.61000000002</v>
      </c>
      <c r="J66" s="32">
        <v>158665.76999999999</v>
      </c>
      <c r="K66" s="9">
        <v>18</v>
      </c>
      <c r="L66" s="32">
        <v>0</v>
      </c>
      <c r="M66" s="32">
        <v>14279.92</v>
      </c>
      <c r="N66" s="32">
        <v>14279.92</v>
      </c>
      <c r="O66" s="32"/>
      <c r="P66" t="str">
        <f>VLOOKUP(G66,'GST + Invocie No'!$B$4:$Y$185,24,0)</f>
        <v>Book And 2B Match</v>
      </c>
    </row>
    <row r="67" spans="1:16" x14ac:dyDescent="0.3">
      <c r="A67" s="30">
        <v>45992</v>
      </c>
      <c r="B67" s="5" t="s">
        <v>38</v>
      </c>
      <c r="C67" s="5" t="s">
        <v>67</v>
      </c>
      <c r="D67" s="6" t="s">
        <v>59</v>
      </c>
      <c r="E67" s="6"/>
      <c r="F67" s="5" t="s">
        <v>151</v>
      </c>
      <c r="G67" s="10" t="str">
        <f t="shared" si="0"/>
        <v>07AAHCT4293N1ZO_TTSPL20251225</v>
      </c>
      <c r="H67" s="7">
        <v>46022</v>
      </c>
      <c r="I67" s="32">
        <v>26611.760000000002</v>
      </c>
      <c r="J67" s="32">
        <v>22552.34</v>
      </c>
      <c r="K67" s="9">
        <v>18</v>
      </c>
      <c r="L67" s="32">
        <v>4059.42</v>
      </c>
      <c r="M67" s="32">
        <v>0</v>
      </c>
      <c r="N67" s="32">
        <v>0</v>
      </c>
      <c r="O67" s="32"/>
      <c r="P67" t="str">
        <f>VLOOKUP(G67,'GST + Invocie No'!$B$4:$Y$185,24,0)</f>
        <v>Book And 2B Match</v>
      </c>
    </row>
    <row r="68" spans="1:16" x14ac:dyDescent="0.3">
      <c r="A68" s="30">
        <v>45992</v>
      </c>
      <c r="B68" s="5" t="s">
        <v>42</v>
      </c>
      <c r="C68" s="5" t="s">
        <v>71</v>
      </c>
      <c r="D68" s="6" t="s">
        <v>59</v>
      </c>
      <c r="E68" s="6"/>
      <c r="F68" s="5" t="s">
        <v>152</v>
      </c>
      <c r="G68" s="10" t="str">
        <f t="shared" si="0"/>
        <v>08AAPCS9984F1ZG_SWPLDEC25-26/147</v>
      </c>
      <c r="H68" s="7">
        <v>46022</v>
      </c>
      <c r="I68" s="32">
        <v>17872135.099999998</v>
      </c>
      <c r="J68" s="32">
        <v>15145877.199999999</v>
      </c>
      <c r="K68" s="9">
        <v>18</v>
      </c>
      <c r="L68" s="32">
        <v>2726257.9</v>
      </c>
      <c r="M68" s="32">
        <v>0</v>
      </c>
      <c r="N68" s="32">
        <v>0</v>
      </c>
      <c r="O68" s="32"/>
      <c r="P68" t="str">
        <f>VLOOKUP(G68,'GST + Invocie No'!$B$4:$Y$185,24,0)</f>
        <v>Book And 2B Match</v>
      </c>
    </row>
    <row r="69" spans="1:16" x14ac:dyDescent="0.3">
      <c r="A69" s="30">
        <v>45992</v>
      </c>
      <c r="B69" s="5" t="s">
        <v>37</v>
      </c>
      <c r="C69" s="5" t="s">
        <v>66</v>
      </c>
      <c r="D69" s="6" t="s">
        <v>59</v>
      </c>
      <c r="E69" s="6"/>
      <c r="F69" s="5" t="s">
        <v>153</v>
      </c>
      <c r="G69" s="10" t="str">
        <f t="shared" ref="G69:G132" si="1">CONCATENATE(C69,"_",F69)</f>
        <v>27AADCD9460D1ZO_25-26/12/375</v>
      </c>
      <c r="H69" s="7">
        <v>46022</v>
      </c>
      <c r="I69" s="32">
        <v>4474324.83</v>
      </c>
      <c r="J69" s="32">
        <v>3791800.71</v>
      </c>
      <c r="K69" s="9">
        <v>18</v>
      </c>
      <c r="L69" s="32">
        <v>0</v>
      </c>
      <c r="M69" s="32">
        <v>341262.06</v>
      </c>
      <c r="N69" s="32">
        <v>341262.06</v>
      </c>
      <c r="O69" s="32"/>
      <c r="P69" t="str">
        <f>VLOOKUP(G69,'GST + Invocie No'!$B$4:$Y$185,24,0)</f>
        <v>Book And 2B Match</v>
      </c>
    </row>
    <row r="70" spans="1:16" x14ac:dyDescent="0.3">
      <c r="A70" s="30">
        <v>45992</v>
      </c>
      <c r="B70" s="5" t="s">
        <v>37</v>
      </c>
      <c r="C70" s="5" t="s">
        <v>66</v>
      </c>
      <c r="D70" s="6" t="s">
        <v>59</v>
      </c>
      <c r="E70" s="6"/>
      <c r="F70" s="5" t="s">
        <v>154</v>
      </c>
      <c r="G70" s="10" t="str">
        <f t="shared" si="1"/>
        <v>27AADCD9460D1ZO_25-26/12/376</v>
      </c>
      <c r="H70" s="7">
        <v>46022</v>
      </c>
      <c r="I70" s="32">
        <v>1034095.53</v>
      </c>
      <c r="J70" s="32">
        <v>876352.15</v>
      </c>
      <c r="K70" s="9">
        <v>18</v>
      </c>
      <c r="L70" s="32">
        <v>0</v>
      </c>
      <c r="M70" s="32">
        <v>78871.69</v>
      </c>
      <c r="N70" s="32">
        <v>78871.69</v>
      </c>
      <c r="O70" s="32"/>
      <c r="P70" t="str">
        <f>VLOOKUP(G70,'GST + Invocie No'!$B$4:$Y$185,24,0)</f>
        <v>Book And 2B Match</v>
      </c>
    </row>
    <row r="71" spans="1:16" x14ac:dyDescent="0.3">
      <c r="A71" s="30">
        <v>45992</v>
      </c>
      <c r="B71" s="5" t="s">
        <v>37</v>
      </c>
      <c r="C71" s="5" t="s">
        <v>66</v>
      </c>
      <c r="D71" s="6" t="s">
        <v>59</v>
      </c>
      <c r="E71" s="6"/>
      <c r="F71" s="5" t="s">
        <v>155</v>
      </c>
      <c r="G71" s="10" t="str">
        <f t="shared" si="1"/>
        <v>27AADCD9460D1ZO_25-26/12/377</v>
      </c>
      <c r="H71" s="7">
        <v>46022</v>
      </c>
      <c r="I71" s="32">
        <v>278221.75</v>
      </c>
      <c r="J71" s="32">
        <v>235781.15</v>
      </c>
      <c r="K71" s="9">
        <v>18</v>
      </c>
      <c r="L71" s="32">
        <v>0</v>
      </c>
      <c r="M71" s="32">
        <v>21220.3</v>
      </c>
      <c r="N71" s="32">
        <v>21220.3</v>
      </c>
      <c r="O71" s="32"/>
      <c r="P71" t="str">
        <f>VLOOKUP(G71,'GST + Invocie No'!$B$4:$Y$185,24,0)</f>
        <v>Book And 2B Match</v>
      </c>
    </row>
    <row r="72" spans="1:16" x14ac:dyDescent="0.3">
      <c r="A72" s="30">
        <v>45992</v>
      </c>
      <c r="B72" s="5" t="s">
        <v>37</v>
      </c>
      <c r="C72" s="5" t="s">
        <v>66</v>
      </c>
      <c r="D72" s="6" t="s">
        <v>59</v>
      </c>
      <c r="E72" s="6"/>
      <c r="F72" s="5" t="s">
        <v>156</v>
      </c>
      <c r="G72" s="10" t="str">
        <f t="shared" si="1"/>
        <v>27AADCD9460D1ZO_25-26/12/378</v>
      </c>
      <c r="H72" s="7">
        <v>46022</v>
      </c>
      <c r="I72" s="32">
        <v>395711.53</v>
      </c>
      <c r="J72" s="32">
        <v>335348.75</v>
      </c>
      <c r="K72" s="9">
        <v>18</v>
      </c>
      <c r="L72" s="32">
        <v>0</v>
      </c>
      <c r="M72" s="32">
        <v>30181.39</v>
      </c>
      <c r="N72" s="32">
        <v>30181.39</v>
      </c>
      <c r="O72" s="32"/>
      <c r="P72" t="str">
        <f>VLOOKUP(G72,'GST + Invocie No'!$B$4:$Y$185,24,0)</f>
        <v>Book And 2B Match</v>
      </c>
    </row>
    <row r="73" spans="1:16" x14ac:dyDescent="0.3">
      <c r="A73" s="30">
        <v>46023</v>
      </c>
      <c r="B73" s="5" t="s">
        <v>46</v>
      </c>
      <c r="C73" s="5" t="s">
        <v>75</v>
      </c>
      <c r="D73" s="6" t="s">
        <v>59</v>
      </c>
      <c r="E73" s="6"/>
      <c r="F73" s="5" t="s">
        <v>157</v>
      </c>
      <c r="G73" s="10" t="str">
        <f t="shared" si="1"/>
        <v>06AAKCG3365R1ZX_RC-3360</v>
      </c>
      <c r="H73" s="7">
        <v>46027</v>
      </c>
      <c r="I73" s="32">
        <v>53100</v>
      </c>
      <c r="J73" s="32">
        <v>45000</v>
      </c>
      <c r="K73" s="9">
        <v>18</v>
      </c>
      <c r="L73" s="32">
        <v>8100</v>
      </c>
      <c r="M73" s="32">
        <v>0</v>
      </c>
      <c r="N73" s="32">
        <v>0</v>
      </c>
      <c r="O73" s="32"/>
      <c r="P73" t="str">
        <f>VLOOKUP(G73,'GST + Invocie No'!$B$4:$Y$185,24,0)</f>
        <v>Book And 2B Match</v>
      </c>
    </row>
    <row r="74" spans="1:16" x14ac:dyDescent="0.3">
      <c r="A74" s="30">
        <v>46023</v>
      </c>
      <c r="B74" s="5" t="s">
        <v>36</v>
      </c>
      <c r="C74" s="5" t="s">
        <v>65</v>
      </c>
      <c r="D74" s="6" t="s">
        <v>59</v>
      </c>
      <c r="E74" s="6"/>
      <c r="F74" s="5" t="s">
        <v>158</v>
      </c>
      <c r="G74" s="10" t="str">
        <f t="shared" si="1"/>
        <v>27AALCB9501D1ZS_BMPL0145</v>
      </c>
      <c r="H74" s="7">
        <v>46025</v>
      </c>
      <c r="I74" s="32">
        <v>2610856.7400000002</v>
      </c>
      <c r="J74" s="32">
        <v>2212590.46</v>
      </c>
      <c r="K74" s="9">
        <v>18</v>
      </c>
      <c r="L74" s="32">
        <v>0</v>
      </c>
      <c r="M74" s="32">
        <v>199133.14</v>
      </c>
      <c r="N74" s="32">
        <v>199133.14</v>
      </c>
      <c r="O74" s="32"/>
      <c r="P74" t="str">
        <f>VLOOKUP(G74,'GST + Invocie No'!$B$4:$Y$185,24,0)</f>
        <v>Book And 2B Match</v>
      </c>
    </row>
    <row r="75" spans="1:16" x14ac:dyDescent="0.3">
      <c r="A75" s="30">
        <v>46023</v>
      </c>
      <c r="B75" s="5" t="s">
        <v>45</v>
      </c>
      <c r="C75" s="5" t="s">
        <v>74</v>
      </c>
      <c r="D75" s="6" t="s">
        <v>59</v>
      </c>
      <c r="E75" s="6"/>
      <c r="F75" s="5" t="s">
        <v>159</v>
      </c>
      <c r="G75" s="10" t="str">
        <f t="shared" si="1"/>
        <v>09AACCO0905F2ZR_ONEX25-26/01/211</v>
      </c>
      <c r="H75" s="7">
        <v>46029</v>
      </c>
      <c r="I75" s="32">
        <v>62690646.359999999</v>
      </c>
      <c r="J75" s="32">
        <v>53127666.409999996</v>
      </c>
      <c r="K75" s="9">
        <v>18</v>
      </c>
      <c r="L75" s="32">
        <v>9562979.9499999993</v>
      </c>
      <c r="M75" s="32">
        <v>0</v>
      </c>
      <c r="N75" s="32">
        <v>0</v>
      </c>
      <c r="O75" s="32"/>
      <c r="P75" t="str">
        <f>VLOOKUP(G75,'GST + Invocie No'!$B$4:$Y$185,24,0)</f>
        <v>Book And 2B Match</v>
      </c>
    </row>
    <row r="76" spans="1:16" x14ac:dyDescent="0.3">
      <c r="A76" s="30">
        <v>46023</v>
      </c>
      <c r="B76" s="5" t="s">
        <v>44</v>
      </c>
      <c r="C76" s="5" t="s">
        <v>73</v>
      </c>
      <c r="D76" s="6" t="s">
        <v>59</v>
      </c>
      <c r="E76" s="6"/>
      <c r="F76" s="5" t="s">
        <v>160</v>
      </c>
      <c r="G76" s="10" t="str">
        <f t="shared" si="1"/>
        <v>23AAQCM8669N1ZG_MCPL/25-26/55</v>
      </c>
      <c r="H76" s="7">
        <v>46023</v>
      </c>
      <c r="I76" s="32">
        <v>638251.69999999995</v>
      </c>
      <c r="J76" s="32">
        <v>540890.69999999995</v>
      </c>
      <c r="K76" s="9">
        <v>18</v>
      </c>
      <c r="L76" s="32">
        <v>97361</v>
      </c>
      <c r="M76" s="32">
        <v>0</v>
      </c>
      <c r="N76" s="32">
        <v>0</v>
      </c>
      <c r="O76" s="32"/>
      <c r="P76" t="str">
        <f>VLOOKUP(G76,'GST + Invocie No'!$B$4:$Y$185,24,0)</f>
        <v>Book And 2B Match</v>
      </c>
    </row>
    <row r="77" spans="1:16" x14ac:dyDescent="0.3">
      <c r="A77" s="30">
        <v>46023</v>
      </c>
      <c r="B77" s="5" t="s">
        <v>46</v>
      </c>
      <c r="C77" s="5" t="s">
        <v>75</v>
      </c>
      <c r="D77" s="6" t="s">
        <v>59</v>
      </c>
      <c r="E77" s="6"/>
      <c r="F77" s="5" t="s">
        <v>161</v>
      </c>
      <c r="G77" s="10" t="str">
        <f t="shared" si="1"/>
        <v>06AAKCG3365R1ZX_RC-3556</v>
      </c>
      <c r="H77" s="7">
        <v>46039</v>
      </c>
      <c r="I77" s="32">
        <v>88500</v>
      </c>
      <c r="J77" s="32">
        <v>75000</v>
      </c>
      <c r="K77" s="9">
        <v>18</v>
      </c>
      <c r="L77" s="32">
        <v>13500</v>
      </c>
      <c r="M77" s="32">
        <v>0</v>
      </c>
      <c r="N77" s="32">
        <v>0</v>
      </c>
      <c r="O77" s="32"/>
      <c r="P77" t="str">
        <f>VLOOKUP(G77,'GST + Invocie No'!$B$4:$Y$185,24,0)</f>
        <v xml:space="preserve">Only for the book </v>
      </c>
    </row>
    <row r="78" spans="1:16" x14ac:dyDescent="0.3">
      <c r="A78" s="30">
        <v>46023</v>
      </c>
      <c r="B78" s="5" t="s">
        <v>35</v>
      </c>
      <c r="C78" s="5" t="s">
        <v>64</v>
      </c>
      <c r="D78" s="6" t="s">
        <v>59</v>
      </c>
      <c r="E78" s="6"/>
      <c r="F78" s="5" t="s">
        <v>162</v>
      </c>
      <c r="G78" s="10" t="str">
        <f t="shared" si="1"/>
        <v>08AAECP9085D2Z5_PPSPL/25-26/0951</v>
      </c>
      <c r="H78" s="7">
        <v>46039</v>
      </c>
      <c r="I78" s="32">
        <v>62925.62</v>
      </c>
      <c r="J78" s="32">
        <v>53326.8</v>
      </c>
      <c r="K78" s="9">
        <v>18</v>
      </c>
      <c r="L78" s="32">
        <v>9598.82</v>
      </c>
      <c r="M78" s="32">
        <v>0</v>
      </c>
      <c r="N78" s="32">
        <v>0</v>
      </c>
      <c r="O78" s="32"/>
      <c r="P78" t="str">
        <f>VLOOKUP(G78,'GST + Invocie No'!$B$4:$Y$185,24,0)</f>
        <v>Book And 2B Match</v>
      </c>
    </row>
    <row r="79" spans="1:16" x14ac:dyDescent="0.3">
      <c r="A79" s="30">
        <v>46023</v>
      </c>
      <c r="B79" s="5" t="s">
        <v>38</v>
      </c>
      <c r="C79" s="5" t="s">
        <v>67</v>
      </c>
      <c r="D79" s="6" t="s">
        <v>59</v>
      </c>
      <c r="E79" s="6"/>
      <c r="F79" s="5" t="s">
        <v>163</v>
      </c>
      <c r="G79" s="10" t="str">
        <f t="shared" si="1"/>
        <v>07AAHCT4293N1ZO_TTSPL20260124</v>
      </c>
      <c r="H79" s="7">
        <v>46053</v>
      </c>
      <c r="I79" s="32">
        <v>33782.730000000003</v>
      </c>
      <c r="J79" s="32">
        <v>28629.43</v>
      </c>
      <c r="K79" s="9">
        <v>18</v>
      </c>
      <c r="L79" s="32">
        <v>5153.3</v>
      </c>
      <c r="M79" s="32">
        <v>0</v>
      </c>
      <c r="N79" s="32">
        <v>0</v>
      </c>
      <c r="O79" s="32"/>
      <c r="P79" t="str">
        <f>VLOOKUP(G79,'GST + Invocie No'!$B$4:$Y$185,24,0)</f>
        <v>Book And 2B Match</v>
      </c>
    </row>
    <row r="80" spans="1:16" x14ac:dyDescent="0.3">
      <c r="A80" s="30">
        <v>46023</v>
      </c>
      <c r="B80" s="5" t="s">
        <v>39</v>
      </c>
      <c r="C80" s="5" t="s">
        <v>68</v>
      </c>
      <c r="D80" s="6" t="s">
        <v>59</v>
      </c>
      <c r="E80" s="6"/>
      <c r="F80" s="5" t="s">
        <v>164</v>
      </c>
      <c r="G80" s="10" t="str">
        <f t="shared" si="1"/>
        <v>27ABDCS7338G1Z4_STPL/25-26/259</v>
      </c>
      <c r="H80" s="7">
        <v>46053</v>
      </c>
      <c r="I80" s="32">
        <v>38896.89</v>
      </c>
      <c r="J80" s="32">
        <v>32963.47</v>
      </c>
      <c r="K80" s="9">
        <v>18</v>
      </c>
      <c r="L80" s="32">
        <v>0</v>
      </c>
      <c r="M80" s="32">
        <v>2966.71</v>
      </c>
      <c r="N80" s="32">
        <v>2966.71</v>
      </c>
      <c r="O80" s="32"/>
      <c r="P80" t="str">
        <f>VLOOKUP(G80,'GST + Invocie No'!$B$4:$Y$185,24,0)</f>
        <v>Book And 2B Match</v>
      </c>
    </row>
    <row r="81" spans="1:16" x14ac:dyDescent="0.3">
      <c r="A81" s="30">
        <v>46023</v>
      </c>
      <c r="B81" s="5" t="s">
        <v>37</v>
      </c>
      <c r="C81" s="5" t="s">
        <v>66</v>
      </c>
      <c r="D81" s="6" t="s">
        <v>59</v>
      </c>
      <c r="E81" s="6"/>
      <c r="F81" s="5" t="s">
        <v>165</v>
      </c>
      <c r="G81" s="10" t="str">
        <f t="shared" si="1"/>
        <v>27AADCD9460D1ZO_25-26/1/366</v>
      </c>
      <c r="H81" s="7">
        <v>46053</v>
      </c>
      <c r="I81" s="32">
        <v>11800</v>
      </c>
      <c r="J81" s="32">
        <v>10000</v>
      </c>
      <c r="K81" s="9">
        <v>18</v>
      </c>
      <c r="L81" s="32">
        <v>0</v>
      </c>
      <c r="M81" s="32">
        <v>900</v>
      </c>
      <c r="N81" s="32">
        <v>900</v>
      </c>
      <c r="O81" s="32"/>
      <c r="P81" t="str">
        <f>VLOOKUP(G81,'GST + Invocie No'!$B$4:$Y$185,24,0)</f>
        <v>Book And 2B Match</v>
      </c>
    </row>
    <row r="82" spans="1:16" x14ac:dyDescent="0.3">
      <c r="A82" s="30">
        <v>46054</v>
      </c>
      <c r="B82" s="5" t="s">
        <v>36</v>
      </c>
      <c r="C82" s="5" t="s">
        <v>65</v>
      </c>
      <c r="D82" s="6" t="s">
        <v>59</v>
      </c>
      <c r="E82" s="6"/>
      <c r="F82" s="5" t="s">
        <v>166</v>
      </c>
      <c r="G82" s="10" t="str">
        <f t="shared" si="1"/>
        <v>27AALCB9501D1ZS_BMPL0168</v>
      </c>
      <c r="H82" s="7">
        <v>46055</v>
      </c>
      <c r="I82" s="32">
        <v>2006287.64</v>
      </c>
      <c r="J82" s="32">
        <v>1700243.76</v>
      </c>
      <c r="K82" s="9">
        <v>18</v>
      </c>
      <c r="L82" s="32">
        <v>0</v>
      </c>
      <c r="M82" s="32">
        <v>153021.94</v>
      </c>
      <c r="N82" s="32">
        <v>153021.94</v>
      </c>
      <c r="O82" s="32"/>
      <c r="P82" t="str">
        <f>VLOOKUP(G82,'GST + Invocie No'!$B$4:$Y$185,24,0)</f>
        <v>Book And 2B Match</v>
      </c>
    </row>
    <row r="83" spans="1:16" x14ac:dyDescent="0.3">
      <c r="A83" s="30">
        <v>46054</v>
      </c>
      <c r="B83" s="5" t="s">
        <v>35</v>
      </c>
      <c r="C83" s="5" t="s">
        <v>64</v>
      </c>
      <c r="D83" s="6" t="s">
        <v>59</v>
      </c>
      <c r="E83" s="6"/>
      <c r="F83" s="5" t="s">
        <v>167</v>
      </c>
      <c r="G83" s="10" t="str">
        <f t="shared" si="1"/>
        <v>08AAECP9085D2Z5_PPSPL/25-26/1019</v>
      </c>
      <c r="H83" s="7">
        <v>46055</v>
      </c>
      <c r="I83" s="32">
        <v>52410.22</v>
      </c>
      <c r="J83" s="32">
        <v>44415.44</v>
      </c>
      <c r="K83" s="9">
        <v>18</v>
      </c>
      <c r="L83" s="32">
        <v>7994.78</v>
      </c>
      <c r="M83" s="32">
        <v>0</v>
      </c>
      <c r="N83" s="32">
        <v>0</v>
      </c>
      <c r="O83" s="32"/>
      <c r="P83" t="str">
        <f>VLOOKUP(G83,'GST + Invocie No'!$B$4:$Y$185,24,0)</f>
        <v>Book And 2B Match</v>
      </c>
    </row>
    <row r="84" spans="1:16" x14ac:dyDescent="0.3">
      <c r="A84" s="30">
        <v>46054</v>
      </c>
      <c r="B84" s="5" t="s">
        <v>46</v>
      </c>
      <c r="C84" s="5" t="s">
        <v>75</v>
      </c>
      <c r="D84" s="6" t="s">
        <v>59</v>
      </c>
      <c r="E84" s="6"/>
      <c r="F84" s="5" t="s">
        <v>168</v>
      </c>
      <c r="G84" s="10" t="str">
        <f t="shared" si="1"/>
        <v>06AAKCG3365R1ZX_RC-3766</v>
      </c>
      <c r="H84" s="7">
        <v>46055</v>
      </c>
      <c r="I84" s="32">
        <v>53100</v>
      </c>
      <c r="J84" s="32">
        <v>45000</v>
      </c>
      <c r="K84" s="9">
        <v>18</v>
      </c>
      <c r="L84" s="32">
        <v>8100</v>
      </c>
      <c r="M84" s="32">
        <v>0</v>
      </c>
      <c r="N84" s="32">
        <v>0</v>
      </c>
      <c r="O84" s="32"/>
      <c r="P84" t="str">
        <f>VLOOKUP(G84,'GST + Invocie No'!$B$4:$Y$185,24,0)</f>
        <v>Book And 2B Match</v>
      </c>
    </row>
    <row r="85" spans="1:16" x14ac:dyDescent="0.3">
      <c r="A85" s="30">
        <v>46054</v>
      </c>
      <c r="B85" s="5" t="s">
        <v>44</v>
      </c>
      <c r="C85" s="5" t="s">
        <v>73</v>
      </c>
      <c r="D85" s="6" t="s">
        <v>59</v>
      </c>
      <c r="E85" s="6"/>
      <c r="F85" s="5" t="s">
        <v>169</v>
      </c>
      <c r="G85" s="10" t="str">
        <f t="shared" si="1"/>
        <v>23AAQCM8669N1ZG_MCPL/25-26/63</v>
      </c>
      <c r="H85" s="7">
        <v>46055</v>
      </c>
      <c r="I85" s="32">
        <v>46400.06</v>
      </c>
      <c r="J85" s="32">
        <v>39322.06</v>
      </c>
      <c r="K85" s="9">
        <v>18</v>
      </c>
      <c r="L85" s="32">
        <v>7078</v>
      </c>
      <c r="M85" s="32">
        <v>0</v>
      </c>
      <c r="N85" s="32">
        <v>0</v>
      </c>
      <c r="O85" s="32"/>
      <c r="P85" t="str">
        <f>VLOOKUP(G85,'GST + Invocie No'!$B$4:$Y$185,24,0)</f>
        <v>Book And 2B Match</v>
      </c>
    </row>
    <row r="86" spans="1:16" x14ac:dyDescent="0.3">
      <c r="A86" s="30">
        <v>46054</v>
      </c>
      <c r="B86" s="5" t="s">
        <v>45</v>
      </c>
      <c r="C86" s="5" t="s">
        <v>74</v>
      </c>
      <c r="D86" s="6" t="s">
        <v>59</v>
      </c>
      <c r="E86" s="6"/>
      <c r="F86" s="5" t="s">
        <v>170</v>
      </c>
      <c r="G86" s="10" t="str">
        <f t="shared" si="1"/>
        <v>09AACCO0905F2ZR_ONEX25-26/02/236</v>
      </c>
      <c r="H86" s="7">
        <v>46070</v>
      </c>
      <c r="I86" s="32">
        <v>47812394.099999994</v>
      </c>
      <c r="J86" s="32">
        <v>40518978.049999997</v>
      </c>
      <c r="K86" s="9">
        <v>18</v>
      </c>
      <c r="L86" s="32">
        <v>7293416.0499999998</v>
      </c>
      <c r="M86" s="32">
        <v>0</v>
      </c>
      <c r="N86" s="32">
        <v>0</v>
      </c>
      <c r="O86" s="32"/>
      <c r="P86" t="str">
        <f>VLOOKUP(G86,'GST + Invocie No'!$B$4:$Y$185,24,0)</f>
        <v>Book And 2B Match</v>
      </c>
    </row>
    <row r="87" spans="1:16" x14ac:dyDescent="0.3">
      <c r="A87" s="30">
        <v>46054</v>
      </c>
      <c r="B87" s="5" t="s">
        <v>38</v>
      </c>
      <c r="C87" s="5" t="s">
        <v>67</v>
      </c>
      <c r="D87" s="6" t="s">
        <v>59</v>
      </c>
      <c r="E87" s="6"/>
      <c r="F87" s="5" t="s">
        <v>171</v>
      </c>
      <c r="G87" s="10" t="str">
        <f t="shared" si="1"/>
        <v>07AAHCT4293N1ZO_TTSPL20260217</v>
      </c>
      <c r="H87" s="7">
        <v>46081</v>
      </c>
      <c r="I87" s="32">
        <v>39046.42</v>
      </c>
      <c r="J87" s="32">
        <v>33090.19</v>
      </c>
      <c r="K87" s="9">
        <v>18</v>
      </c>
      <c r="L87" s="32">
        <v>5956.23</v>
      </c>
      <c r="M87" s="32">
        <v>0</v>
      </c>
      <c r="N87" s="32">
        <v>0</v>
      </c>
      <c r="O87" s="32"/>
      <c r="P87" t="str">
        <f>VLOOKUP(G87,'GST + Invocie No'!$B$4:$Y$185,24,0)</f>
        <v>Book And 2B Match</v>
      </c>
    </row>
    <row r="88" spans="1:16" x14ac:dyDescent="0.3">
      <c r="A88" s="30">
        <v>46054</v>
      </c>
      <c r="B88" s="5" t="s">
        <v>37</v>
      </c>
      <c r="C88" s="5" t="s">
        <v>66</v>
      </c>
      <c r="D88" s="6" t="s">
        <v>59</v>
      </c>
      <c r="E88" s="6"/>
      <c r="F88" s="5" t="s">
        <v>172</v>
      </c>
      <c r="G88" s="10" t="str">
        <f t="shared" si="1"/>
        <v>27AADCD9460D1ZO_25-26/2/331</v>
      </c>
      <c r="H88" s="7">
        <v>46081</v>
      </c>
      <c r="I88" s="32">
        <v>11800</v>
      </c>
      <c r="J88" s="32">
        <v>10000</v>
      </c>
      <c r="K88" s="9">
        <v>18</v>
      </c>
      <c r="L88" s="32">
        <v>0</v>
      </c>
      <c r="M88" s="32">
        <v>900</v>
      </c>
      <c r="N88" s="32">
        <v>900</v>
      </c>
      <c r="O88" s="32"/>
      <c r="P88" t="str">
        <f>VLOOKUP(G88,'GST + Invocie No'!$B$4:$Y$185,24,0)</f>
        <v>Book And 2B Match</v>
      </c>
    </row>
    <row r="89" spans="1:16" x14ac:dyDescent="0.3">
      <c r="A89" s="30">
        <v>46082</v>
      </c>
      <c r="B89" s="5" t="s">
        <v>46</v>
      </c>
      <c r="C89" s="5" t="s">
        <v>75</v>
      </c>
      <c r="D89" s="6" t="s">
        <v>59</v>
      </c>
      <c r="E89" s="6"/>
      <c r="F89" s="5" t="s">
        <v>173</v>
      </c>
      <c r="G89" s="10" t="str">
        <f t="shared" si="1"/>
        <v>06AAKCG3365R1ZX_RC4223</v>
      </c>
      <c r="H89" s="7">
        <v>46084</v>
      </c>
      <c r="I89" s="32">
        <v>53100</v>
      </c>
      <c r="J89" s="32">
        <v>45000</v>
      </c>
      <c r="K89" s="9">
        <v>18</v>
      </c>
      <c r="L89" s="32">
        <v>8100</v>
      </c>
      <c r="M89" s="32">
        <v>0</v>
      </c>
      <c r="N89" s="32">
        <v>0</v>
      </c>
      <c r="O89" s="32"/>
      <c r="P89" t="str">
        <f>VLOOKUP(G89,'GST + Invocie No'!$B$4:$Y$185,24,0)</f>
        <v>Book And 2B Match</v>
      </c>
    </row>
    <row r="90" spans="1:16" x14ac:dyDescent="0.3">
      <c r="A90" s="30">
        <v>46082</v>
      </c>
      <c r="B90" s="5" t="s">
        <v>35</v>
      </c>
      <c r="C90" s="5" t="s">
        <v>64</v>
      </c>
      <c r="D90" s="6" t="s">
        <v>59</v>
      </c>
      <c r="E90" s="6"/>
      <c r="F90" s="5" t="s">
        <v>174</v>
      </c>
      <c r="G90" s="10" t="str">
        <f t="shared" si="1"/>
        <v>08AAECP9085D2Z5_PPSPL/25-26/1119</v>
      </c>
      <c r="H90" s="7">
        <v>46087</v>
      </c>
      <c r="I90" s="32">
        <v>5300.09</v>
      </c>
      <c r="J90" s="32">
        <v>4491.6000000000004</v>
      </c>
      <c r="K90" s="9">
        <v>18</v>
      </c>
      <c r="L90" s="32">
        <v>808.49</v>
      </c>
      <c r="M90" s="32">
        <v>0</v>
      </c>
      <c r="N90" s="32">
        <v>0</v>
      </c>
      <c r="O90" s="32"/>
      <c r="P90" t="str">
        <f>VLOOKUP(G90,'GST + Invocie No'!$B$4:$Y$185,24,0)</f>
        <v>Book And 2B Match</v>
      </c>
    </row>
    <row r="91" spans="1:16" x14ac:dyDescent="0.3">
      <c r="A91" s="30">
        <v>46082</v>
      </c>
      <c r="B91" s="5" t="s">
        <v>44</v>
      </c>
      <c r="C91" s="5" t="s">
        <v>73</v>
      </c>
      <c r="D91" s="6" t="s">
        <v>59</v>
      </c>
      <c r="E91" s="6"/>
      <c r="F91" s="5" t="s">
        <v>175</v>
      </c>
      <c r="G91" s="10" t="str">
        <f t="shared" si="1"/>
        <v>23AAQCM8669N1ZG_MCPL/25-26/69</v>
      </c>
      <c r="H91" s="7">
        <v>46083</v>
      </c>
      <c r="I91" s="32">
        <v>45979.63</v>
      </c>
      <c r="J91" s="32">
        <v>38965.629999999997</v>
      </c>
      <c r="K91" s="9">
        <v>18</v>
      </c>
      <c r="L91" s="32">
        <v>7014</v>
      </c>
      <c r="M91" s="32">
        <v>0</v>
      </c>
      <c r="N91" s="32">
        <v>0</v>
      </c>
      <c r="O91" s="32"/>
      <c r="P91" t="str">
        <f>VLOOKUP(G91,'GST + Invocie No'!$B$4:$Y$185,24,0)</f>
        <v>Book And 2B Match</v>
      </c>
    </row>
    <row r="92" spans="1:16" x14ac:dyDescent="0.3">
      <c r="A92" s="30">
        <v>46082</v>
      </c>
      <c r="B92" s="5" t="s">
        <v>36</v>
      </c>
      <c r="C92" s="5" t="s">
        <v>65</v>
      </c>
      <c r="D92" s="6" t="s">
        <v>59</v>
      </c>
      <c r="E92" s="6"/>
      <c r="F92" s="5" t="s">
        <v>176</v>
      </c>
      <c r="G92" s="10" t="str">
        <f t="shared" si="1"/>
        <v>27AALCB9501D1ZS_BMPL0195</v>
      </c>
      <c r="H92" s="7">
        <v>46083</v>
      </c>
      <c r="I92" s="32">
        <v>2944360.15</v>
      </c>
      <c r="J92" s="32">
        <v>2495220.4700000002</v>
      </c>
      <c r="K92" s="9">
        <v>18</v>
      </c>
      <c r="L92" s="32">
        <v>0</v>
      </c>
      <c r="M92" s="32">
        <v>224569.84</v>
      </c>
      <c r="N92" s="32">
        <v>224569.84</v>
      </c>
      <c r="O92" s="32"/>
      <c r="P92" t="str">
        <f>VLOOKUP(G92,'GST + Invocie No'!$B$4:$Y$185,24,0)</f>
        <v>Book And 2B Match</v>
      </c>
    </row>
    <row r="93" spans="1:16" x14ac:dyDescent="0.3">
      <c r="A93" s="30">
        <v>46082</v>
      </c>
      <c r="B93" s="5" t="s">
        <v>45</v>
      </c>
      <c r="C93" s="5" t="s">
        <v>74</v>
      </c>
      <c r="D93" s="6" t="s">
        <v>59</v>
      </c>
      <c r="E93" s="6"/>
      <c r="F93" s="5" t="s">
        <v>177</v>
      </c>
      <c r="G93" s="10" t="str">
        <f t="shared" si="1"/>
        <v>09AACCO0905F2ZR_ONEX25-26/03/246</v>
      </c>
      <c r="H93" s="7">
        <v>46094</v>
      </c>
      <c r="I93" s="32">
        <v>49994484.479999997</v>
      </c>
      <c r="J93" s="32">
        <v>42368207.189999998</v>
      </c>
      <c r="K93" s="9">
        <v>18</v>
      </c>
      <c r="L93" s="32">
        <v>7626277.29</v>
      </c>
      <c r="M93" s="32">
        <v>0</v>
      </c>
      <c r="N93" s="32">
        <v>0</v>
      </c>
      <c r="O93" s="32"/>
      <c r="P93" t="str">
        <f>VLOOKUP(G93,'GST + Invocie No'!$B$4:$Y$185,24,0)</f>
        <v>Book And 2B Match</v>
      </c>
    </row>
    <row r="94" spans="1:16" x14ac:dyDescent="0.3">
      <c r="A94" s="30">
        <v>46082</v>
      </c>
      <c r="B94" s="5" t="s">
        <v>47</v>
      </c>
      <c r="C94" s="5" t="s">
        <v>76</v>
      </c>
      <c r="D94" s="6" t="s">
        <v>59</v>
      </c>
      <c r="E94" s="6"/>
      <c r="F94" s="5" t="s">
        <v>178</v>
      </c>
      <c r="G94" s="10" t="str">
        <f t="shared" si="1"/>
        <v>09ABHCS5775R1Z6_STMP/25-26/188</v>
      </c>
      <c r="H94" s="7">
        <v>46099</v>
      </c>
      <c r="I94" s="32">
        <v>3588475.24</v>
      </c>
      <c r="J94" s="32">
        <v>3041080.71</v>
      </c>
      <c r="K94" s="9">
        <v>18</v>
      </c>
      <c r="L94" s="32">
        <v>547394.53</v>
      </c>
      <c r="M94" s="32">
        <v>0</v>
      </c>
      <c r="N94" s="32">
        <v>0</v>
      </c>
      <c r="O94" s="32"/>
      <c r="P94" t="str">
        <f>VLOOKUP(G94,'GST + Invocie No'!$B$4:$Y$185,24,0)</f>
        <v>Book And 2B Match</v>
      </c>
    </row>
    <row r="95" spans="1:16" x14ac:dyDescent="0.3">
      <c r="A95" s="30">
        <v>46082</v>
      </c>
      <c r="B95" s="5" t="s">
        <v>47</v>
      </c>
      <c r="C95" s="5" t="s">
        <v>76</v>
      </c>
      <c r="D95" s="6" t="s">
        <v>59</v>
      </c>
      <c r="E95" s="6"/>
      <c r="F95" s="5" t="s">
        <v>179</v>
      </c>
      <c r="G95" s="10" t="str">
        <f t="shared" si="1"/>
        <v>09ABHCS5775R1Z6_STMP/25-26/189</v>
      </c>
      <c r="H95" s="7">
        <v>46099</v>
      </c>
      <c r="I95" s="32">
        <v>205196.62</v>
      </c>
      <c r="J95" s="32">
        <v>173895.44</v>
      </c>
      <c r="K95" s="9">
        <v>18</v>
      </c>
      <c r="L95" s="32">
        <v>31301.18</v>
      </c>
      <c r="M95" s="32">
        <v>0</v>
      </c>
      <c r="N95" s="32">
        <v>0</v>
      </c>
      <c r="O95" s="32"/>
      <c r="P95" t="str">
        <f>VLOOKUP(G95,'GST + Invocie No'!$B$4:$Y$185,24,0)</f>
        <v>Book And 2B Match</v>
      </c>
    </row>
    <row r="96" spans="1:16" x14ac:dyDescent="0.3">
      <c r="A96" s="30">
        <v>46082</v>
      </c>
      <c r="B96" s="5" t="s">
        <v>45</v>
      </c>
      <c r="C96" s="5" t="s">
        <v>74</v>
      </c>
      <c r="D96" s="6" t="s">
        <v>59</v>
      </c>
      <c r="E96" s="6"/>
      <c r="F96" s="5" t="s">
        <v>180</v>
      </c>
      <c r="G96" s="10" t="str">
        <f t="shared" si="1"/>
        <v>09AACCO0905F2ZR_ONEX25-26/03/369</v>
      </c>
      <c r="H96" s="7">
        <v>46112</v>
      </c>
      <c r="I96" s="32">
        <v>47203797.060000002</v>
      </c>
      <c r="J96" s="32">
        <v>40003217.850000001</v>
      </c>
      <c r="K96" s="9">
        <v>18</v>
      </c>
      <c r="L96" s="32">
        <v>7200579.21</v>
      </c>
      <c r="M96" s="32">
        <v>0</v>
      </c>
      <c r="N96" s="32">
        <v>0</v>
      </c>
      <c r="O96" s="32"/>
      <c r="P96" t="str">
        <f>VLOOKUP(G96,'GST + Invocie No'!$B$4:$Y$185,24,0)</f>
        <v>Book And 2B Match</v>
      </c>
    </row>
    <row r="97" spans="1:16" x14ac:dyDescent="0.3">
      <c r="A97" s="30">
        <v>46082</v>
      </c>
      <c r="B97" s="5" t="s">
        <v>38</v>
      </c>
      <c r="C97" s="5" t="s">
        <v>67</v>
      </c>
      <c r="D97" s="6" t="s">
        <v>59</v>
      </c>
      <c r="E97" s="6"/>
      <c r="F97" s="5" t="s">
        <v>181</v>
      </c>
      <c r="G97" s="10" t="str">
        <f t="shared" si="1"/>
        <v>07AAHCT4293N1ZO_TTSPL20260320</v>
      </c>
      <c r="H97" s="7">
        <v>46112</v>
      </c>
      <c r="I97" s="32">
        <v>32222.9</v>
      </c>
      <c r="J97" s="32">
        <v>27307.54</v>
      </c>
      <c r="K97" s="9">
        <v>18</v>
      </c>
      <c r="L97" s="32">
        <v>4915.3599999999997</v>
      </c>
      <c r="M97" s="32">
        <v>0</v>
      </c>
      <c r="N97" s="32">
        <v>0</v>
      </c>
      <c r="O97" s="32"/>
      <c r="P97" t="str">
        <f>VLOOKUP(G97,'GST + Invocie No'!$B$4:$Y$185,24,0)</f>
        <v xml:space="preserve">Only for the book </v>
      </c>
    </row>
    <row r="98" spans="1:16" x14ac:dyDescent="0.3">
      <c r="A98" s="30">
        <v>46082</v>
      </c>
      <c r="B98" s="5" t="s">
        <v>37</v>
      </c>
      <c r="C98" s="5" t="s">
        <v>66</v>
      </c>
      <c r="D98" s="6" t="s">
        <v>59</v>
      </c>
      <c r="E98" s="6"/>
      <c r="F98" s="5" t="s">
        <v>182</v>
      </c>
      <c r="G98" s="10" t="str">
        <f t="shared" si="1"/>
        <v>27AADCD9460D1ZO_25-26/3/396</v>
      </c>
      <c r="H98" s="7">
        <v>46112</v>
      </c>
      <c r="I98" s="32">
        <v>11800</v>
      </c>
      <c r="J98" s="32">
        <v>10000</v>
      </c>
      <c r="K98" s="9">
        <v>18</v>
      </c>
      <c r="L98" s="32">
        <v>0</v>
      </c>
      <c r="M98" s="32">
        <v>900</v>
      </c>
      <c r="N98" s="32">
        <v>900</v>
      </c>
      <c r="O98" s="32"/>
      <c r="P98" t="str">
        <f>VLOOKUP(G98,'GST + Invocie No'!$B$4:$Y$185,24,0)</f>
        <v>Book And 2B Match</v>
      </c>
    </row>
    <row r="99" spans="1:16" x14ac:dyDescent="0.3">
      <c r="A99" s="30">
        <v>46082</v>
      </c>
      <c r="B99" s="5" t="s">
        <v>46</v>
      </c>
      <c r="C99" s="5" t="s">
        <v>75</v>
      </c>
      <c r="D99" s="6" t="s">
        <v>59</v>
      </c>
      <c r="E99" s="6"/>
      <c r="F99" s="5" t="s">
        <v>183</v>
      </c>
      <c r="G99" s="10" t="str">
        <f t="shared" si="1"/>
        <v>06AAKCG3365R1ZX_RC4546</v>
      </c>
      <c r="H99" s="7">
        <v>46112</v>
      </c>
      <c r="I99" s="32">
        <v>53100</v>
      </c>
      <c r="J99" s="32">
        <v>45000</v>
      </c>
      <c r="K99" s="9">
        <v>18</v>
      </c>
      <c r="L99" s="32">
        <v>8100</v>
      </c>
      <c r="M99" s="32">
        <v>0</v>
      </c>
      <c r="N99" s="32">
        <v>0</v>
      </c>
      <c r="O99" s="32"/>
      <c r="P99" t="str">
        <f>VLOOKUP(G99,'GST + Invocie No'!$B$4:$Y$185,24,0)</f>
        <v>Book And 2B Match</v>
      </c>
    </row>
    <row r="100" spans="1:16" x14ac:dyDescent="0.3">
      <c r="A100" s="30">
        <v>46082</v>
      </c>
      <c r="B100" s="5" t="s">
        <v>39</v>
      </c>
      <c r="C100" s="5" t="s">
        <v>68</v>
      </c>
      <c r="D100" s="6" t="s">
        <v>59</v>
      </c>
      <c r="E100" s="6"/>
      <c r="F100" s="5" t="s">
        <v>184</v>
      </c>
      <c r="G100" s="10" t="str">
        <f t="shared" si="1"/>
        <v>27ABDCS7338G1Z4_STPL/25-26/337</v>
      </c>
      <c r="H100" s="7">
        <v>46112</v>
      </c>
      <c r="I100" s="32">
        <v>68080.45</v>
      </c>
      <c r="J100" s="32">
        <v>57695.29</v>
      </c>
      <c r="K100" s="9">
        <v>18</v>
      </c>
      <c r="L100" s="32">
        <v>0</v>
      </c>
      <c r="M100" s="32">
        <v>5192.58</v>
      </c>
      <c r="N100" s="32">
        <v>5192.58</v>
      </c>
      <c r="O100" s="32"/>
      <c r="P100" t="str">
        <f>VLOOKUP(G100,'GST + Invocie No'!$B$4:$Y$185,24,0)</f>
        <v>Book And 2B Match</v>
      </c>
    </row>
    <row r="101" spans="1:16" x14ac:dyDescent="0.3">
      <c r="A101" s="30">
        <v>46082</v>
      </c>
      <c r="B101" s="5" t="s">
        <v>44</v>
      </c>
      <c r="C101" s="5" t="s">
        <v>73</v>
      </c>
      <c r="D101" s="6" t="s">
        <v>59</v>
      </c>
      <c r="E101" s="6"/>
      <c r="F101" s="5" t="s">
        <v>185</v>
      </c>
      <c r="G101" s="10" t="str">
        <f t="shared" si="1"/>
        <v>23AAQCM8669N1ZG_MCPL/25-26/73</v>
      </c>
      <c r="H101" s="7">
        <v>46112</v>
      </c>
      <c r="I101" s="32">
        <v>45763.7</v>
      </c>
      <c r="J101" s="32">
        <v>38782.699999999997</v>
      </c>
      <c r="K101" s="9">
        <v>18</v>
      </c>
      <c r="L101" s="32">
        <v>6981</v>
      </c>
      <c r="M101" s="32">
        <v>0</v>
      </c>
      <c r="N101" s="32">
        <v>0</v>
      </c>
      <c r="O101" s="32"/>
      <c r="P101" t="str">
        <f>VLOOKUP(G101,'GST + Invocie No'!$B$4:$Y$185,24,0)</f>
        <v>Book And 2B Match</v>
      </c>
    </row>
    <row r="102" spans="1:16" x14ac:dyDescent="0.3">
      <c r="A102" s="30">
        <v>46082</v>
      </c>
      <c r="B102" s="5" t="s">
        <v>47</v>
      </c>
      <c r="C102" s="5" t="s">
        <v>76</v>
      </c>
      <c r="D102" s="6" t="s">
        <v>59</v>
      </c>
      <c r="E102" s="6"/>
      <c r="F102" s="5" t="s">
        <v>186</v>
      </c>
      <c r="G102" s="10" t="str">
        <f t="shared" si="1"/>
        <v>09ABHCS5775R1Z6_STMPL/25-26/205</v>
      </c>
      <c r="H102" s="7">
        <v>46112</v>
      </c>
      <c r="I102" s="32">
        <v>77197.11</v>
      </c>
      <c r="J102" s="32">
        <v>65421.279999999999</v>
      </c>
      <c r="K102" s="9">
        <v>18</v>
      </c>
      <c r="L102" s="32">
        <v>11775.83</v>
      </c>
      <c r="M102" s="32">
        <v>0</v>
      </c>
      <c r="N102" s="32">
        <v>0</v>
      </c>
      <c r="O102" s="32"/>
      <c r="P102" t="str">
        <f>VLOOKUP(G102,'GST + Invocie No'!$B$4:$Y$185,24,0)</f>
        <v>Book And 2B Match</v>
      </c>
    </row>
    <row r="103" spans="1:16" x14ac:dyDescent="0.3">
      <c r="A103" s="30">
        <v>45748</v>
      </c>
      <c r="B103" s="5" t="s">
        <v>48</v>
      </c>
      <c r="C103" s="5" t="s">
        <v>77</v>
      </c>
      <c r="D103" s="6" t="s">
        <v>60</v>
      </c>
      <c r="E103" s="6"/>
      <c r="F103" s="5" t="s">
        <v>187</v>
      </c>
      <c r="G103" s="10" t="str">
        <f t="shared" si="1"/>
        <v>06AABCF5150G1ZZ_ADS406-104287387</v>
      </c>
      <c r="H103" s="7">
        <v>45750</v>
      </c>
      <c r="I103" s="32">
        <v>49.6</v>
      </c>
      <c r="J103" s="32">
        <v>42.03</v>
      </c>
      <c r="K103" s="9">
        <v>18</v>
      </c>
      <c r="L103" s="32">
        <v>7.57</v>
      </c>
      <c r="M103" s="32">
        <v>0</v>
      </c>
      <c r="N103" s="32">
        <v>0</v>
      </c>
      <c r="O103" s="32"/>
      <c r="P103" t="str">
        <f>VLOOKUP(G103,'GST + Invocie No'!$B$4:$Y$185,24,0)</f>
        <v>Book And 2B Match</v>
      </c>
    </row>
    <row r="104" spans="1:16" x14ac:dyDescent="0.3">
      <c r="A104" s="30">
        <v>45748</v>
      </c>
      <c r="B104" s="5" t="s">
        <v>48</v>
      </c>
      <c r="C104" s="5" t="s">
        <v>77</v>
      </c>
      <c r="D104" s="6" t="s">
        <v>60</v>
      </c>
      <c r="E104" s="6"/>
      <c r="F104" s="5" t="s">
        <v>188</v>
      </c>
      <c r="G104" s="10" t="str">
        <f t="shared" si="1"/>
        <v>06AABCF5150G1ZZ_ADS406-104290423</v>
      </c>
      <c r="H104" s="7">
        <v>45751</v>
      </c>
      <c r="I104" s="32">
        <v>52.599999999999994</v>
      </c>
      <c r="J104" s="32">
        <v>44.58</v>
      </c>
      <c r="K104" s="9">
        <v>18</v>
      </c>
      <c r="L104" s="32">
        <v>8.02</v>
      </c>
      <c r="M104" s="32">
        <v>0</v>
      </c>
      <c r="N104" s="32">
        <v>0</v>
      </c>
      <c r="O104" s="32"/>
      <c r="P104" t="str">
        <f>VLOOKUP(G104,'GST + Invocie No'!$B$4:$Y$185,24,0)</f>
        <v>Book And 2B Match</v>
      </c>
    </row>
    <row r="105" spans="1:16" x14ac:dyDescent="0.3">
      <c r="A105" s="30">
        <v>45748</v>
      </c>
      <c r="B105" s="5" t="s">
        <v>48</v>
      </c>
      <c r="C105" s="5" t="s">
        <v>77</v>
      </c>
      <c r="D105" s="6" t="s">
        <v>60</v>
      </c>
      <c r="E105" s="6"/>
      <c r="F105" s="5" t="s">
        <v>189</v>
      </c>
      <c r="G105" s="10" t="str">
        <f t="shared" si="1"/>
        <v>06AABCF5150G1ZZ_ADS406-104296522</v>
      </c>
      <c r="H105" s="7">
        <v>45753</v>
      </c>
      <c r="I105" s="32">
        <v>47.86</v>
      </c>
      <c r="J105" s="32">
        <v>40.56</v>
      </c>
      <c r="K105" s="9">
        <v>18</v>
      </c>
      <c r="L105" s="32">
        <v>7.3</v>
      </c>
      <c r="M105" s="32">
        <v>0</v>
      </c>
      <c r="N105" s="32">
        <v>0</v>
      </c>
      <c r="O105" s="32"/>
      <c r="P105" t="str">
        <f>VLOOKUP(G105,'GST + Invocie No'!$B$4:$Y$185,24,0)</f>
        <v>Book And 2B Match</v>
      </c>
    </row>
    <row r="106" spans="1:16" x14ac:dyDescent="0.3">
      <c r="A106" s="30">
        <v>45748</v>
      </c>
      <c r="B106" s="5" t="s">
        <v>48</v>
      </c>
      <c r="C106" s="5" t="s">
        <v>77</v>
      </c>
      <c r="D106" s="6" t="s">
        <v>60</v>
      </c>
      <c r="E106" s="6"/>
      <c r="F106" s="5" t="s">
        <v>190</v>
      </c>
      <c r="G106" s="10" t="str">
        <f t="shared" si="1"/>
        <v>06AABCF5150G1ZZ_ADS406-104299421</v>
      </c>
      <c r="H106" s="7">
        <v>45754</v>
      </c>
      <c r="I106" s="32">
        <v>53.86</v>
      </c>
      <c r="J106" s="32">
        <v>45.64</v>
      </c>
      <c r="K106" s="9">
        <v>18</v>
      </c>
      <c r="L106" s="32">
        <v>8.2200000000000006</v>
      </c>
      <c r="M106" s="32">
        <v>0</v>
      </c>
      <c r="N106" s="32">
        <v>0</v>
      </c>
      <c r="O106" s="32"/>
      <c r="P106" t="str">
        <f>VLOOKUP(G106,'GST + Invocie No'!$B$4:$Y$185,24,0)</f>
        <v>Book And 2B Match</v>
      </c>
    </row>
    <row r="107" spans="1:16" x14ac:dyDescent="0.3">
      <c r="A107" s="30">
        <v>45748</v>
      </c>
      <c r="B107" s="5" t="s">
        <v>49</v>
      </c>
      <c r="C107" s="5" t="s">
        <v>78</v>
      </c>
      <c r="D107" s="6" t="s">
        <v>60</v>
      </c>
      <c r="E107" s="6"/>
      <c r="F107" s="5" t="s">
        <v>191</v>
      </c>
      <c r="G107" s="10" t="str">
        <f t="shared" si="1"/>
        <v>27AAECR8945A1ZB_SH/APR‐25/136</v>
      </c>
      <c r="H107" s="7">
        <v>45755</v>
      </c>
      <c r="I107" s="32">
        <v>656.97</v>
      </c>
      <c r="J107" s="32">
        <v>556.75</v>
      </c>
      <c r="K107" s="9">
        <v>18</v>
      </c>
      <c r="L107" s="32">
        <v>0</v>
      </c>
      <c r="M107" s="32">
        <v>50.11</v>
      </c>
      <c r="N107" s="32">
        <v>50.11</v>
      </c>
      <c r="O107" s="32"/>
      <c r="P107" t="str">
        <f>VLOOKUP(G107,'GST + Invocie No'!$B$4:$Y$185,24,0)</f>
        <v>Book And 2B Match-Invocies No Mis-Match</v>
      </c>
    </row>
    <row r="108" spans="1:16" x14ac:dyDescent="0.3">
      <c r="A108" s="30">
        <v>45748</v>
      </c>
      <c r="B108" s="5" t="s">
        <v>50</v>
      </c>
      <c r="C108" s="5" t="s">
        <v>79</v>
      </c>
      <c r="D108" s="6" t="s">
        <v>60</v>
      </c>
      <c r="E108" s="6"/>
      <c r="F108" s="5" t="s">
        <v>192</v>
      </c>
      <c r="G108" s="10" t="str">
        <f t="shared" si="1"/>
        <v>27AADCN9802F1ZG_UCF/DT0425/56863</v>
      </c>
      <c r="H108" s="7">
        <v>45762</v>
      </c>
      <c r="I108" s="32">
        <v>5900</v>
      </c>
      <c r="J108" s="32">
        <v>5000</v>
      </c>
      <c r="K108" s="9">
        <v>18</v>
      </c>
      <c r="L108" s="32">
        <v>0</v>
      </c>
      <c r="M108" s="32">
        <v>450</v>
      </c>
      <c r="N108" s="32">
        <v>450</v>
      </c>
      <c r="O108" s="32"/>
      <c r="P108" t="str">
        <f>VLOOKUP(G108,'GST + Invocie No'!$B$4:$Y$185,24,0)</f>
        <v>Book And 2B Match</v>
      </c>
    </row>
    <row r="109" spans="1:16" x14ac:dyDescent="0.3">
      <c r="A109" s="30">
        <v>45748</v>
      </c>
      <c r="B109" s="5" t="s">
        <v>48</v>
      </c>
      <c r="C109" s="5" t="s">
        <v>77</v>
      </c>
      <c r="D109" s="6" t="s">
        <v>60</v>
      </c>
      <c r="E109" s="6"/>
      <c r="F109" s="5" t="s">
        <v>193</v>
      </c>
      <c r="G109" s="10" t="str">
        <f t="shared" si="1"/>
        <v>06AABCF5150G1ZZ_ADS406-104334095</v>
      </c>
      <c r="H109" s="7">
        <v>45765</v>
      </c>
      <c r="I109" s="32">
        <v>50.230000000000004</v>
      </c>
      <c r="J109" s="32">
        <v>42.57</v>
      </c>
      <c r="K109" s="9">
        <v>18</v>
      </c>
      <c r="L109" s="32">
        <v>7.66</v>
      </c>
      <c r="M109" s="32">
        <v>0</v>
      </c>
      <c r="N109" s="32">
        <v>0</v>
      </c>
      <c r="O109" s="32"/>
      <c r="P109" t="str">
        <f>VLOOKUP(G109,'GST + Invocie No'!$B$4:$Y$185,24,0)</f>
        <v>Book And 2B Match</v>
      </c>
    </row>
    <row r="110" spans="1:16" x14ac:dyDescent="0.3">
      <c r="A110" s="30">
        <v>45748</v>
      </c>
      <c r="B110" s="5" t="s">
        <v>48</v>
      </c>
      <c r="C110" s="5" t="s">
        <v>77</v>
      </c>
      <c r="D110" s="6" t="s">
        <v>60</v>
      </c>
      <c r="E110" s="6"/>
      <c r="F110" s="5" t="s">
        <v>194</v>
      </c>
      <c r="G110" s="10" t="str">
        <f t="shared" si="1"/>
        <v>06AABCF5150G1ZZ_ADS406-104336831</v>
      </c>
      <c r="H110" s="7">
        <v>45766</v>
      </c>
      <c r="I110" s="32">
        <v>50.85</v>
      </c>
      <c r="J110" s="32">
        <v>43.09</v>
      </c>
      <c r="K110" s="9">
        <v>18</v>
      </c>
      <c r="L110" s="32">
        <v>7.76</v>
      </c>
      <c r="M110" s="32">
        <v>0</v>
      </c>
      <c r="N110" s="32">
        <v>0</v>
      </c>
      <c r="O110" s="32"/>
      <c r="P110" t="str">
        <f>VLOOKUP(G110,'GST + Invocie No'!$B$4:$Y$185,24,0)</f>
        <v>Book And 2B Match</v>
      </c>
    </row>
    <row r="111" spans="1:16" x14ac:dyDescent="0.3">
      <c r="A111" s="30">
        <v>45748</v>
      </c>
      <c r="B111" s="5" t="s">
        <v>48</v>
      </c>
      <c r="C111" s="5" t="s">
        <v>77</v>
      </c>
      <c r="D111" s="6" t="s">
        <v>60</v>
      </c>
      <c r="E111" s="6"/>
      <c r="F111" s="5" t="s">
        <v>195</v>
      </c>
      <c r="G111" s="10" t="str">
        <f t="shared" si="1"/>
        <v>06AABCF5150G1ZZ_ADS406-104353979</v>
      </c>
      <c r="H111" s="7">
        <v>45772</v>
      </c>
      <c r="I111" s="32">
        <v>41.76</v>
      </c>
      <c r="J111" s="32">
        <v>35.39</v>
      </c>
      <c r="K111" s="9">
        <v>18</v>
      </c>
      <c r="L111" s="32">
        <v>6.37</v>
      </c>
      <c r="M111" s="32">
        <v>0</v>
      </c>
      <c r="N111" s="32">
        <v>0</v>
      </c>
      <c r="O111" s="32"/>
      <c r="P111" t="str">
        <f>VLOOKUP(G111,'GST + Invocie No'!$B$4:$Y$185,24,0)</f>
        <v>Book And 2B Match</v>
      </c>
    </row>
    <row r="112" spans="1:16" x14ac:dyDescent="0.3">
      <c r="A112" s="30">
        <v>45748</v>
      </c>
      <c r="B112" s="5" t="s">
        <v>48</v>
      </c>
      <c r="C112" s="5" t="s">
        <v>77</v>
      </c>
      <c r="D112" s="6" t="s">
        <v>60</v>
      </c>
      <c r="E112" s="6"/>
      <c r="F112" s="5" t="s">
        <v>196</v>
      </c>
      <c r="G112" s="10" t="str">
        <f t="shared" si="1"/>
        <v>06AABCF5150G1ZZ_ADS406-104356904</v>
      </c>
      <c r="H112" s="7">
        <v>45773</v>
      </c>
      <c r="I112" s="32">
        <v>57.959999999999994</v>
      </c>
      <c r="J112" s="32">
        <v>49.12</v>
      </c>
      <c r="K112" s="9">
        <v>18</v>
      </c>
      <c r="L112" s="32">
        <v>8.84</v>
      </c>
      <c r="M112" s="32">
        <v>0</v>
      </c>
      <c r="N112" s="32">
        <v>0</v>
      </c>
      <c r="O112" s="32"/>
      <c r="P112" t="str">
        <f>VLOOKUP(G112,'GST + Invocie No'!$B$4:$Y$185,24,0)</f>
        <v>Book And 2B Match</v>
      </c>
    </row>
    <row r="113" spans="1:16" x14ac:dyDescent="0.3">
      <c r="A113" s="30">
        <v>45748</v>
      </c>
      <c r="B113" s="5" t="s">
        <v>48</v>
      </c>
      <c r="C113" s="5" t="s">
        <v>77</v>
      </c>
      <c r="D113" s="6" t="s">
        <v>60</v>
      </c>
      <c r="E113" s="6"/>
      <c r="F113" s="5" t="s">
        <v>197</v>
      </c>
      <c r="G113" s="10" t="str">
        <f t="shared" si="1"/>
        <v>06AABCF5150G1ZZ_ADS406-104359679</v>
      </c>
      <c r="H113" s="7">
        <v>45774</v>
      </c>
      <c r="I113" s="32">
        <v>0.05</v>
      </c>
      <c r="J113" s="32">
        <v>0.04</v>
      </c>
      <c r="K113" s="9">
        <v>18</v>
      </c>
      <c r="L113" s="32">
        <v>0.01</v>
      </c>
      <c r="M113" s="32">
        <v>0</v>
      </c>
      <c r="N113" s="32">
        <v>0</v>
      </c>
      <c r="O113" s="32"/>
      <c r="P113" t="str">
        <f>VLOOKUP(G113,'GST + Invocie No'!$B$4:$Y$185,24,0)</f>
        <v>Book And 2B Match</v>
      </c>
    </row>
    <row r="114" spans="1:16" x14ac:dyDescent="0.3">
      <c r="A114" s="30">
        <v>45748</v>
      </c>
      <c r="B114" s="5" t="s">
        <v>48</v>
      </c>
      <c r="C114" s="5" t="s">
        <v>77</v>
      </c>
      <c r="D114" s="6" t="s">
        <v>60</v>
      </c>
      <c r="E114" s="6"/>
      <c r="F114" s="5" t="s">
        <v>198</v>
      </c>
      <c r="G114" s="10" t="str">
        <f t="shared" si="1"/>
        <v>06AABCF5150G1ZZ_ADS406-104368307</v>
      </c>
      <c r="H114" s="7">
        <v>45777</v>
      </c>
      <c r="I114" s="32">
        <v>47.480000000000004</v>
      </c>
      <c r="J114" s="32">
        <v>40.24</v>
      </c>
      <c r="K114" s="9">
        <v>18</v>
      </c>
      <c r="L114" s="32">
        <v>7.24</v>
      </c>
      <c r="M114" s="32">
        <v>0</v>
      </c>
      <c r="N114" s="32">
        <v>0</v>
      </c>
      <c r="O114" s="32"/>
      <c r="P114" t="str">
        <f>VLOOKUP(G114,'GST + Invocie No'!$B$4:$Y$185,24,0)</f>
        <v>Book And 2B Match</v>
      </c>
    </row>
    <row r="115" spans="1:16" x14ac:dyDescent="0.3">
      <c r="A115" s="30">
        <v>45748</v>
      </c>
      <c r="B115" s="5" t="s">
        <v>48</v>
      </c>
      <c r="C115" s="5" t="s">
        <v>77</v>
      </c>
      <c r="D115" s="6" t="s">
        <v>60</v>
      </c>
      <c r="E115" s="6"/>
      <c r="F115" s="5" t="s">
        <v>199</v>
      </c>
      <c r="G115" s="10" t="str">
        <f t="shared" si="1"/>
        <v>06AABCF5150G1ZZ_ADS406-104371660</v>
      </c>
      <c r="H115" s="7">
        <v>45777</v>
      </c>
      <c r="I115" s="32">
        <v>52.660000000000004</v>
      </c>
      <c r="J115" s="32">
        <v>44.63</v>
      </c>
      <c r="K115" s="9">
        <v>18</v>
      </c>
      <c r="L115" s="32">
        <v>8.0299999999999994</v>
      </c>
      <c r="M115" s="32">
        <v>0</v>
      </c>
      <c r="N115" s="32">
        <v>0</v>
      </c>
      <c r="O115" s="32"/>
      <c r="P115" t="str">
        <f>VLOOKUP(G115,'GST + Invocie No'!$B$4:$Y$185,24,0)</f>
        <v>Book And 2B Match</v>
      </c>
    </row>
    <row r="116" spans="1:16" x14ac:dyDescent="0.3">
      <c r="A116" s="30">
        <v>45778</v>
      </c>
      <c r="B116" s="5" t="s">
        <v>49</v>
      </c>
      <c r="C116" s="5" t="s">
        <v>78</v>
      </c>
      <c r="D116" s="6" t="s">
        <v>60</v>
      </c>
      <c r="E116" s="6"/>
      <c r="F116" s="5" t="s">
        <v>200</v>
      </c>
      <c r="G116" s="10" t="str">
        <f t="shared" si="1"/>
        <v>27AAECR8945A1ZB_SH/MAY‐25/53</v>
      </c>
      <c r="H116" s="7">
        <v>45762</v>
      </c>
      <c r="I116" s="32">
        <v>4756.55</v>
      </c>
      <c r="J116" s="32">
        <v>4030.97</v>
      </c>
      <c r="K116" s="9">
        <v>18</v>
      </c>
      <c r="L116" s="32">
        <v>0</v>
      </c>
      <c r="M116" s="32">
        <v>362.79</v>
      </c>
      <c r="N116" s="32">
        <v>362.79</v>
      </c>
      <c r="O116" s="32"/>
      <c r="P116" t="str">
        <f>VLOOKUP(G116,'GST + Invocie No'!$B$4:$Y$185,24,0)</f>
        <v>Book And 2B Match-Invocies No Mis-Match</v>
      </c>
    </row>
    <row r="117" spans="1:16" x14ac:dyDescent="0.3">
      <c r="A117" s="30">
        <v>45778</v>
      </c>
      <c r="B117" s="5" t="s">
        <v>49</v>
      </c>
      <c r="C117" s="5" t="s">
        <v>78</v>
      </c>
      <c r="D117" s="6" t="s">
        <v>60</v>
      </c>
      <c r="E117" s="6"/>
      <c r="F117" s="5" t="s">
        <v>201</v>
      </c>
      <c r="G117" s="10" t="str">
        <f t="shared" si="1"/>
        <v>27AAECR8945A1ZB_SH/MAY‐25/45</v>
      </c>
      <c r="H117" s="7">
        <v>45764</v>
      </c>
      <c r="I117" s="32">
        <v>481.21</v>
      </c>
      <c r="J117" s="32">
        <v>407.81</v>
      </c>
      <c r="K117" s="9">
        <v>18</v>
      </c>
      <c r="L117" s="32">
        <v>0</v>
      </c>
      <c r="M117" s="32">
        <v>36.700000000000003</v>
      </c>
      <c r="N117" s="32">
        <v>36.700000000000003</v>
      </c>
      <c r="O117" s="32"/>
      <c r="P117" t="str">
        <f>VLOOKUP(G117,'GST + Invocie No'!$B$4:$Y$185,24,0)</f>
        <v>Book And 2B Match-Invocies No Mis-Match</v>
      </c>
    </row>
    <row r="118" spans="1:16" x14ac:dyDescent="0.3">
      <c r="A118" s="30">
        <v>45778</v>
      </c>
      <c r="B118" s="5" t="s">
        <v>48</v>
      </c>
      <c r="C118" s="5" t="s">
        <v>77</v>
      </c>
      <c r="D118" s="6" t="s">
        <v>60</v>
      </c>
      <c r="E118" s="6"/>
      <c r="F118" s="5" t="s">
        <v>202</v>
      </c>
      <c r="G118" s="10" t="str">
        <f t="shared" si="1"/>
        <v>06AABCF5150G1ZZ_ADS406-104380265</v>
      </c>
      <c r="H118" s="7">
        <v>45781</v>
      </c>
      <c r="I118" s="32">
        <v>48.160000000000004</v>
      </c>
      <c r="J118" s="32">
        <v>40.81</v>
      </c>
      <c r="K118" s="9">
        <v>18</v>
      </c>
      <c r="L118" s="32">
        <v>7.35</v>
      </c>
      <c r="M118" s="32">
        <v>0</v>
      </c>
      <c r="N118" s="32">
        <v>0</v>
      </c>
      <c r="O118" s="32"/>
      <c r="P118" t="str">
        <f>VLOOKUP(G118,'GST + Invocie No'!$B$4:$Y$185,24,0)</f>
        <v>Book And 2B Match</v>
      </c>
    </row>
    <row r="119" spans="1:16" x14ac:dyDescent="0.3">
      <c r="A119" s="30">
        <v>45778</v>
      </c>
      <c r="B119" s="5" t="s">
        <v>48</v>
      </c>
      <c r="C119" s="5" t="s">
        <v>77</v>
      </c>
      <c r="D119" s="6" t="s">
        <v>60</v>
      </c>
      <c r="E119" s="6"/>
      <c r="F119" s="5" t="s">
        <v>203</v>
      </c>
      <c r="G119" s="10" t="str">
        <f t="shared" si="1"/>
        <v>06AABCF5150G1ZZ_ADS406-104383153</v>
      </c>
      <c r="H119" s="7">
        <v>45782</v>
      </c>
      <c r="I119" s="32">
        <v>52.320000000000007</v>
      </c>
      <c r="J119" s="32">
        <v>44.34</v>
      </c>
      <c r="K119" s="9">
        <v>18</v>
      </c>
      <c r="L119" s="32">
        <v>7.98</v>
      </c>
      <c r="M119" s="32">
        <v>0</v>
      </c>
      <c r="N119" s="32">
        <v>0</v>
      </c>
      <c r="O119" s="32"/>
      <c r="P119" t="str">
        <f>VLOOKUP(G119,'GST + Invocie No'!$B$4:$Y$185,24,0)</f>
        <v>Book And 2B Match</v>
      </c>
    </row>
    <row r="120" spans="1:16" x14ac:dyDescent="0.3">
      <c r="A120" s="30">
        <v>45778</v>
      </c>
      <c r="B120" s="5" t="s">
        <v>48</v>
      </c>
      <c r="C120" s="5" t="s">
        <v>77</v>
      </c>
      <c r="D120" s="6" t="s">
        <v>60</v>
      </c>
      <c r="E120" s="6"/>
      <c r="F120" s="5" t="s">
        <v>204</v>
      </c>
      <c r="G120" s="10" t="str">
        <f t="shared" si="1"/>
        <v>06AABCF5150G1ZZ_ADS406-104399344</v>
      </c>
      <c r="H120" s="7">
        <v>45787</v>
      </c>
      <c r="I120" s="32">
        <v>-19.3</v>
      </c>
      <c r="J120" s="32">
        <v>-16.36</v>
      </c>
      <c r="K120" s="9">
        <v>18</v>
      </c>
      <c r="L120" s="32">
        <v>-2.94</v>
      </c>
      <c r="M120" s="32">
        <v>0</v>
      </c>
      <c r="N120" s="32">
        <v>0</v>
      </c>
      <c r="O120" s="32"/>
      <c r="P120" t="str">
        <f>VLOOKUP(G120,'GST + Invocie No'!$B$4:$Y$185,24,0)</f>
        <v>Book And 2B Match</v>
      </c>
    </row>
    <row r="121" spans="1:16" x14ac:dyDescent="0.3">
      <c r="A121" s="30">
        <v>45778</v>
      </c>
      <c r="B121" s="5" t="s">
        <v>51</v>
      </c>
      <c r="C121" s="5" t="s">
        <v>80</v>
      </c>
      <c r="D121" s="6" t="s">
        <v>60</v>
      </c>
      <c r="E121" s="6"/>
      <c r="F121" s="5" t="s">
        <v>205</v>
      </c>
      <c r="G121" s="10" t="str">
        <f t="shared" si="1"/>
        <v>27AAWFM3818Q1Z9_MCO25-26794</v>
      </c>
      <c r="H121" s="7">
        <v>45797</v>
      </c>
      <c r="I121" s="32">
        <v>39826</v>
      </c>
      <c r="J121" s="32">
        <v>33750</v>
      </c>
      <c r="K121" s="9">
        <v>18</v>
      </c>
      <c r="L121" s="32">
        <v>0</v>
      </c>
      <c r="M121" s="32">
        <v>3038</v>
      </c>
      <c r="N121" s="32">
        <v>3038</v>
      </c>
      <c r="O121" s="32"/>
      <c r="P121" t="str">
        <f>VLOOKUP(G121,'GST + Invocie No'!$B$4:$Y$185,24,0)</f>
        <v>Book And 2B Match</v>
      </c>
    </row>
    <row r="122" spans="1:16" x14ac:dyDescent="0.3">
      <c r="A122" s="30">
        <v>45778</v>
      </c>
      <c r="B122" s="5" t="s">
        <v>48</v>
      </c>
      <c r="C122" s="5" t="s">
        <v>77</v>
      </c>
      <c r="D122" s="6" t="s">
        <v>60</v>
      </c>
      <c r="E122" s="6"/>
      <c r="F122" s="5" t="s">
        <v>206</v>
      </c>
      <c r="G122" s="10" t="str">
        <f t="shared" si="1"/>
        <v>06AABCF5150G1ZZ_ADS406-104435085</v>
      </c>
      <c r="H122" s="7">
        <v>45798</v>
      </c>
      <c r="I122" s="32">
        <v>8.74</v>
      </c>
      <c r="J122" s="32">
        <v>7.41</v>
      </c>
      <c r="K122" s="9">
        <v>18</v>
      </c>
      <c r="L122" s="32">
        <v>1.33</v>
      </c>
      <c r="M122" s="32">
        <v>0</v>
      </c>
      <c r="N122" s="32">
        <v>0</v>
      </c>
      <c r="O122" s="32"/>
      <c r="P122" t="str">
        <f>VLOOKUP(G122,'GST + Invocie No'!$B$4:$Y$185,24,0)</f>
        <v>Book And 2B Match</v>
      </c>
    </row>
    <row r="123" spans="1:16" x14ac:dyDescent="0.3">
      <c r="A123" s="30">
        <v>45778</v>
      </c>
      <c r="B123" s="5" t="s">
        <v>48</v>
      </c>
      <c r="C123" s="5" t="s">
        <v>77</v>
      </c>
      <c r="D123" s="6" t="s">
        <v>60</v>
      </c>
      <c r="E123" s="6"/>
      <c r="F123" s="5" t="s">
        <v>207</v>
      </c>
      <c r="G123" s="10" t="str">
        <f t="shared" si="1"/>
        <v>06AABCF5150G1ZZ_ADS406-104438440</v>
      </c>
      <c r="H123" s="7">
        <v>45799</v>
      </c>
      <c r="I123" s="32">
        <v>69.89</v>
      </c>
      <c r="J123" s="32">
        <v>59.23</v>
      </c>
      <c r="K123" s="9">
        <v>18</v>
      </c>
      <c r="L123" s="32">
        <v>10.66</v>
      </c>
      <c r="M123" s="32">
        <v>0</v>
      </c>
      <c r="N123" s="32">
        <v>0</v>
      </c>
      <c r="O123" s="32"/>
      <c r="P123" t="str">
        <f>VLOOKUP(G123,'GST + Invocie No'!$B$4:$Y$185,24,0)</f>
        <v>Book And 2B Match</v>
      </c>
    </row>
    <row r="124" spans="1:16" x14ac:dyDescent="0.3">
      <c r="A124" s="30">
        <v>45778</v>
      </c>
      <c r="B124" s="5" t="s">
        <v>52</v>
      </c>
      <c r="C124" s="5" t="s">
        <v>81</v>
      </c>
      <c r="D124" s="6" t="s">
        <v>60</v>
      </c>
      <c r="E124" s="6"/>
      <c r="F124" s="5" t="s">
        <v>208</v>
      </c>
      <c r="G124" s="10" t="str">
        <f t="shared" si="1"/>
        <v>27AABPV6272G1ZF_SER/25-26/05/05</v>
      </c>
      <c r="H124" s="7">
        <v>45803</v>
      </c>
      <c r="I124" s="32">
        <v>9558</v>
      </c>
      <c r="J124" s="32">
        <v>8100</v>
      </c>
      <c r="K124" s="9">
        <v>18</v>
      </c>
      <c r="L124" s="32">
        <v>0</v>
      </c>
      <c r="M124" s="32">
        <v>729</v>
      </c>
      <c r="N124" s="32">
        <v>729</v>
      </c>
      <c r="O124" s="32"/>
      <c r="P124" t="str">
        <f>VLOOKUP(G124,'GST + Invocie No'!$B$4:$Y$185,24,0)</f>
        <v>Book And 2B Match-Invocies No Mis-Match</v>
      </c>
    </row>
    <row r="125" spans="1:16" x14ac:dyDescent="0.3">
      <c r="A125" s="30">
        <v>45778</v>
      </c>
      <c r="B125" s="5" t="s">
        <v>49</v>
      </c>
      <c r="C125" s="5" t="s">
        <v>78</v>
      </c>
      <c r="D125" s="6" t="s">
        <v>60</v>
      </c>
      <c r="E125" s="6"/>
      <c r="F125" s="5" t="s">
        <v>209</v>
      </c>
      <c r="G125" s="10" t="str">
        <f t="shared" si="1"/>
        <v>27AAECR8945A1ZB_SH/MAY‐25/171</v>
      </c>
      <c r="H125" s="7">
        <v>45779</v>
      </c>
      <c r="I125" s="32">
        <v>319.21000000000004</v>
      </c>
      <c r="J125" s="32">
        <v>270.51</v>
      </c>
      <c r="K125" s="9">
        <v>18</v>
      </c>
      <c r="L125" s="32">
        <v>0</v>
      </c>
      <c r="M125" s="32">
        <v>24.35</v>
      </c>
      <c r="N125" s="32">
        <v>24.35</v>
      </c>
      <c r="O125" s="32"/>
      <c r="P125" t="str">
        <f>VLOOKUP(G125,'GST + Invocie No'!$B$4:$Y$185,24,0)</f>
        <v>Book And 2B Match-Invocies No Mis-Match</v>
      </c>
    </row>
    <row r="126" spans="1:16" x14ac:dyDescent="0.3">
      <c r="A126" s="30">
        <v>45809</v>
      </c>
      <c r="B126" s="5" t="s">
        <v>48</v>
      </c>
      <c r="C126" s="5" t="s">
        <v>77</v>
      </c>
      <c r="D126" s="6" t="s">
        <v>60</v>
      </c>
      <c r="E126" s="6"/>
      <c r="F126" s="5" t="s">
        <v>210</v>
      </c>
      <c r="G126" s="10" t="str">
        <f t="shared" si="1"/>
        <v xml:space="preserve">06AABCF5150G1ZZ_ADS406-104485890_x000D_
</v>
      </c>
      <c r="H126" s="7">
        <v>45812</v>
      </c>
      <c r="I126" s="32">
        <v>46.4</v>
      </c>
      <c r="J126" s="32">
        <v>39.32</v>
      </c>
      <c r="K126" s="9">
        <v>18</v>
      </c>
      <c r="L126" s="32">
        <v>7.08</v>
      </c>
      <c r="M126" s="32">
        <v>0</v>
      </c>
      <c r="N126" s="32">
        <v>0</v>
      </c>
      <c r="O126" s="32"/>
      <c r="P126" t="str">
        <f>VLOOKUP(G126,'GST + Invocie No'!$B$4:$Y$185,24,0)</f>
        <v>Book And 2B Match</v>
      </c>
    </row>
    <row r="127" spans="1:16" x14ac:dyDescent="0.3">
      <c r="A127" s="30">
        <v>45809</v>
      </c>
      <c r="B127" s="5" t="s">
        <v>48</v>
      </c>
      <c r="C127" s="5" t="s">
        <v>77</v>
      </c>
      <c r="D127" s="6" t="s">
        <v>60</v>
      </c>
      <c r="E127" s="6"/>
      <c r="F127" s="5" t="s">
        <v>211</v>
      </c>
      <c r="G127" s="10" t="str">
        <f t="shared" si="1"/>
        <v xml:space="preserve">06AABCF5150G1ZZ_ADS406-104489154_x000D_
</v>
      </c>
      <c r="H127" s="7">
        <v>45813</v>
      </c>
      <c r="I127" s="32">
        <v>55.08</v>
      </c>
      <c r="J127" s="32">
        <v>46.68</v>
      </c>
      <c r="K127" s="9">
        <v>18</v>
      </c>
      <c r="L127" s="32">
        <v>8.4</v>
      </c>
      <c r="M127" s="32">
        <v>0</v>
      </c>
      <c r="N127" s="32">
        <v>0</v>
      </c>
      <c r="O127" s="32"/>
      <c r="P127" t="str">
        <f>VLOOKUP(G127,'GST + Invocie No'!$B$4:$Y$185,24,0)</f>
        <v>Book And 2B Match</v>
      </c>
    </row>
    <row r="128" spans="1:16" x14ac:dyDescent="0.3">
      <c r="A128" s="30">
        <v>45809</v>
      </c>
      <c r="B128" s="5" t="s">
        <v>51</v>
      </c>
      <c r="C128" s="5" t="s">
        <v>80</v>
      </c>
      <c r="D128" s="6" t="s">
        <v>60</v>
      </c>
      <c r="E128" s="6"/>
      <c r="F128" s="5" t="s">
        <v>212</v>
      </c>
      <c r="G128" s="10" t="str">
        <f t="shared" si="1"/>
        <v>27AAWFM3818Q1Z9_MCO2526838</v>
      </c>
      <c r="H128" s="7">
        <v>45820</v>
      </c>
      <c r="I128" s="32">
        <v>39826</v>
      </c>
      <c r="J128" s="32">
        <v>33750</v>
      </c>
      <c r="K128" s="9">
        <v>18</v>
      </c>
      <c r="L128" s="32">
        <v>0</v>
      </c>
      <c r="M128" s="32">
        <v>3038</v>
      </c>
      <c r="N128" s="32">
        <v>3038</v>
      </c>
      <c r="O128" s="32"/>
      <c r="P128" t="str">
        <f>VLOOKUP(G128,'GST + Invocie No'!$B$4:$Y$185,24,0)</f>
        <v>Book And 2B Match</v>
      </c>
    </row>
    <row r="129" spans="1:16" x14ac:dyDescent="0.3">
      <c r="A129" s="30">
        <v>45809</v>
      </c>
      <c r="B129" s="5" t="s">
        <v>53</v>
      </c>
      <c r="C129" s="5" t="s">
        <v>82</v>
      </c>
      <c r="D129" s="6" t="s">
        <v>60</v>
      </c>
      <c r="E129" s="6"/>
      <c r="F129" s="5" t="s">
        <v>213</v>
      </c>
      <c r="G129" s="10" t="str">
        <f t="shared" si="1"/>
        <v>27AANFJ4391E1Z4_J/25-26/660</v>
      </c>
      <c r="H129" s="7">
        <v>45827</v>
      </c>
      <c r="I129" s="32">
        <v>8496</v>
      </c>
      <c r="J129" s="32">
        <v>7200</v>
      </c>
      <c r="K129" s="9">
        <v>18</v>
      </c>
      <c r="L129" s="32">
        <v>0</v>
      </c>
      <c r="M129" s="32">
        <v>648</v>
      </c>
      <c r="N129" s="32">
        <v>648</v>
      </c>
      <c r="O129" s="32"/>
      <c r="P129" t="str">
        <f>VLOOKUP(G129,'GST + Invocie No'!$B$4:$Y$185,24,0)</f>
        <v>Book And 2B Match</v>
      </c>
    </row>
    <row r="130" spans="1:16" x14ac:dyDescent="0.3">
      <c r="A130" s="30">
        <v>45839</v>
      </c>
      <c r="B130" s="5" t="s">
        <v>51</v>
      </c>
      <c r="C130" s="5" t="s">
        <v>80</v>
      </c>
      <c r="D130" s="6" t="s">
        <v>60</v>
      </c>
      <c r="E130" s="6"/>
      <c r="F130" s="5" t="s">
        <v>214</v>
      </c>
      <c r="G130" s="10" t="str">
        <f t="shared" si="1"/>
        <v>27AAWFM3818Q1Z9_MCO2526856</v>
      </c>
      <c r="H130" s="7">
        <v>45842</v>
      </c>
      <c r="I130" s="32">
        <v>39826</v>
      </c>
      <c r="J130" s="32">
        <v>33750</v>
      </c>
      <c r="K130" s="9">
        <v>18</v>
      </c>
      <c r="L130" s="32">
        <v>0</v>
      </c>
      <c r="M130" s="32">
        <v>3038</v>
      </c>
      <c r="N130" s="32">
        <v>3038</v>
      </c>
      <c r="O130" s="32"/>
      <c r="P130" t="str">
        <f>VLOOKUP(G130,'GST + Invocie No'!$B$4:$Y$185,24,0)</f>
        <v>Book And 2B Match</v>
      </c>
    </row>
    <row r="131" spans="1:16" x14ac:dyDescent="0.3">
      <c r="A131" s="30">
        <v>45870</v>
      </c>
      <c r="B131" s="5" t="s">
        <v>51</v>
      </c>
      <c r="C131" s="5" t="s">
        <v>80</v>
      </c>
      <c r="D131" s="6" t="s">
        <v>60</v>
      </c>
      <c r="E131" s="6"/>
      <c r="F131" s="5" t="s">
        <v>215</v>
      </c>
      <c r="G131" s="10" t="str">
        <f t="shared" si="1"/>
        <v>27AAWFM3818Q1Z9_MCO2526876</v>
      </c>
      <c r="H131" s="7">
        <v>45870</v>
      </c>
      <c r="I131" s="32">
        <v>39826</v>
      </c>
      <c r="J131" s="32">
        <v>33750</v>
      </c>
      <c r="K131" s="9">
        <v>18</v>
      </c>
      <c r="L131" s="32">
        <v>0</v>
      </c>
      <c r="M131" s="32">
        <v>3038</v>
      </c>
      <c r="N131" s="32">
        <v>3038</v>
      </c>
      <c r="O131" s="32"/>
      <c r="P131" t="str">
        <f>VLOOKUP(G131,'GST + Invocie No'!$B$4:$Y$185,24,0)</f>
        <v>Book And 2B Match</v>
      </c>
    </row>
    <row r="132" spans="1:16" x14ac:dyDescent="0.3">
      <c r="A132" s="30">
        <v>45870</v>
      </c>
      <c r="B132" s="5" t="s">
        <v>54</v>
      </c>
      <c r="C132" s="5" t="s">
        <v>83</v>
      </c>
      <c r="D132" s="6" t="s">
        <v>60</v>
      </c>
      <c r="E132" s="6"/>
      <c r="F132" s="5" t="s">
        <v>216</v>
      </c>
      <c r="G132" s="10" t="str">
        <f t="shared" si="1"/>
        <v>27AAACP4924D1ZO_2025-26/2721</v>
      </c>
      <c r="H132" s="7">
        <v>45883</v>
      </c>
      <c r="I132" s="32">
        <v>9832.9399999999987</v>
      </c>
      <c r="J132" s="32">
        <v>8333</v>
      </c>
      <c r="K132" s="9">
        <v>18</v>
      </c>
      <c r="L132" s="32">
        <v>0</v>
      </c>
      <c r="M132" s="32">
        <v>749.97</v>
      </c>
      <c r="N132" s="32">
        <v>749.97</v>
      </c>
      <c r="O132" s="32"/>
      <c r="P132" t="str">
        <f>VLOOKUP(G132,'GST + Invocie No'!$B$4:$Y$185,24,0)</f>
        <v>Book And 2B Match</v>
      </c>
    </row>
    <row r="133" spans="1:16" x14ac:dyDescent="0.3">
      <c r="A133" s="30">
        <v>45901</v>
      </c>
      <c r="B133" s="5" t="s">
        <v>55</v>
      </c>
      <c r="C133" s="5" t="s">
        <v>84</v>
      </c>
      <c r="D133" s="6" t="s">
        <v>60</v>
      </c>
      <c r="E133" s="6"/>
      <c r="F133" s="5" t="s">
        <v>217</v>
      </c>
      <c r="G133" s="10" t="str">
        <f t="shared" ref="G133:G150" si="2">CONCATENATE(C133,"_",F133)</f>
        <v>27AAACC6233A1Z9_420252026120907</v>
      </c>
      <c r="H133" s="7">
        <v>45930</v>
      </c>
      <c r="I133" s="32">
        <v>21141.67</v>
      </c>
      <c r="J133" s="32">
        <v>17916.669999999998</v>
      </c>
      <c r="K133" s="9">
        <v>18</v>
      </c>
      <c r="L133" s="32">
        <v>0</v>
      </c>
      <c r="M133" s="32">
        <v>1612.5</v>
      </c>
      <c r="N133" s="32">
        <v>1612.5</v>
      </c>
      <c r="O133" s="32"/>
      <c r="P133" t="str">
        <f>VLOOKUP(G133,'GST + Invocie No'!$B$4:$Y$185,24,0)</f>
        <v>Book And 2B Match</v>
      </c>
    </row>
    <row r="134" spans="1:16" x14ac:dyDescent="0.3">
      <c r="A134" s="30">
        <v>45931</v>
      </c>
      <c r="B134" s="5" t="s">
        <v>51</v>
      </c>
      <c r="C134" s="5" t="s">
        <v>80</v>
      </c>
      <c r="D134" s="6" t="s">
        <v>60</v>
      </c>
      <c r="E134" s="6"/>
      <c r="F134" s="5" t="s">
        <v>218</v>
      </c>
      <c r="G134" s="10" t="str">
        <f t="shared" si="2"/>
        <v>27AAWFM3818Q1Z9_MCO2526965</v>
      </c>
      <c r="H134" s="7">
        <v>45933</v>
      </c>
      <c r="I134" s="32">
        <v>39826</v>
      </c>
      <c r="J134" s="32">
        <v>33750</v>
      </c>
      <c r="K134" s="9">
        <v>18</v>
      </c>
      <c r="L134" s="32">
        <v>0</v>
      </c>
      <c r="M134" s="32">
        <v>3038</v>
      </c>
      <c r="N134" s="32">
        <v>3038</v>
      </c>
      <c r="O134" s="32"/>
      <c r="P134" t="str">
        <f>VLOOKUP(G134,'GST + Invocie No'!$B$4:$Y$185,24,0)</f>
        <v>Book And 2B Match</v>
      </c>
    </row>
    <row r="135" spans="1:16" x14ac:dyDescent="0.3">
      <c r="A135" s="30">
        <v>45962</v>
      </c>
      <c r="B135" s="5" t="s">
        <v>51</v>
      </c>
      <c r="C135" s="5" t="s">
        <v>80</v>
      </c>
      <c r="D135" s="6" t="s">
        <v>60</v>
      </c>
      <c r="E135" s="6"/>
      <c r="F135" s="5" t="s">
        <v>219</v>
      </c>
      <c r="G135" s="10" t="str">
        <f t="shared" si="2"/>
        <v>27AAWFM3818Q1Z9_MCO25261017</v>
      </c>
      <c r="H135" s="7">
        <v>45964</v>
      </c>
      <c r="I135" s="32">
        <v>39825</v>
      </c>
      <c r="J135" s="32">
        <v>33750</v>
      </c>
      <c r="K135" s="9">
        <v>18</v>
      </c>
      <c r="L135" s="32">
        <v>0</v>
      </c>
      <c r="M135" s="32">
        <v>3037.5</v>
      </c>
      <c r="N135" s="32">
        <v>3037.5</v>
      </c>
      <c r="O135" s="32"/>
      <c r="P135" t="str">
        <f>VLOOKUP(G135,'GST + Invocie No'!$B$4:$Y$185,24,0)</f>
        <v>Book And 2B Match</v>
      </c>
    </row>
    <row r="136" spans="1:16" x14ac:dyDescent="0.3">
      <c r="A136" s="30">
        <v>45992</v>
      </c>
      <c r="B136" s="5" t="s">
        <v>41</v>
      </c>
      <c r="C136" s="5" t="s">
        <v>70</v>
      </c>
      <c r="D136" s="6" t="s">
        <v>60</v>
      </c>
      <c r="E136" s="6"/>
      <c r="F136" s="5" t="s">
        <v>220</v>
      </c>
      <c r="G136" s="10" t="str">
        <f t="shared" si="2"/>
        <v>24AALCR1836M1Z1_INV-R000390</v>
      </c>
      <c r="H136" s="7">
        <v>45978</v>
      </c>
      <c r="I136" s="32">
        <v>69599.94</v>
      </c>
      <c r="J136" s="32">
        <v>58983</v>
      </c>
      <c r="K136" s="9">
        <v>18</v>
      </c>
      <c r="L136" s="32">
        <v>10616.94</v>
      </c>
      <c r="M136" s="32">
        <v>0</v>
      </c>
      <c r="N136" s="32">
        <v>0</v>
      </c>
      <c r="O136" s="32"/>
      <c r="P136" t="str">
        <f>VLOOKUP(G136,'GST + Invocie No'!$B$4:$Y$185,24,0)</f>
        <v>Book And 2B Match</v>
      </c>
    </row>
    <row r="137" spans="1:16" x14ac:dyDescent="0.3">
      <c r="A137" s="30">
        <v>45992</v>
      </c>
      <c r="B137" s="5" t="s">
        <v>51</v>
      </c>
      <c r="C137" s="5" t="s">
        <v>80</v>
      </c>
      <c r="D137" s="6" t="s">
        <v>60</v>
      </c>
      <c r="E137" s="6"/>
      <c r="F137" s="5" t="s">
        <v>221</v>
      </c>
      <c r="G137" s="10" t="str">
        <f t="shared" si="2"/>
        <v>27AAWFM3818Q1Z9_MCO25261055</v>
      </c>
      <c r="H137" s="7">
        <v>45994</v>
      </c>
      <c r="I137" s="32">
        <v>39825</v>
      </c>
      <c r="J137" s="32">
        <v>33750</v>
      </c>
      <c r="K137" s="9">
        <v>18</v>
      </c>
      <c r="L137" s="32">
        <v>0</v>
      </c>
      <c r="M137" s="32">
        <v>3037.5</v>
      </c>
      <c r="N137" s="32">
        <v>3037.5</v>
      </c>
      <c r="O137" s="32"/>
      <c r="P137" t="str">
        <f>VLOOKUP(G137,'GST + Invocie No'!$B$4:$Y$185,24,0)</f>
        <v>Book And 2B Match</v>
      </c>
    </row>
    <row r="138" spans="1:16" x14ac:dyDescent="0.3">
      <c r="A138" s="30">
        <v>46023</v>
      </c>
      <c r="B138" s="5" t="s">
        <v>51</v>
      </c>
      <c r="C138" s="5" t="s">
        <v>80</v>
      </c>
      <c r="D138" s="6" t="s">
        <v>60</v>
      </c>
      <c r="E138" s="6"/>
      <c r="F138" s="5" t="s">
        <v>222</v>
      </c>
      <c r="G138" s="10" t="str">
        <f t="shared" si="2"/>
        <v>27AAWFM3818Q1Z9_MCO25261086</v>
      </c>
      <c r="H138" s="7">
        <v>46024</v>
      </c>
      <c r="I138" s="32">
        <v>39825</v>
      </c>
      <c r="J138" s="32">
        <v>33750</v>
      </c>
      <c r="K138" s="9">
        <v>18</v>
      </c>
      <c r="L138" s="32">
        <v>0</v>
      </c>
      <c r="M138" s="32">
        <v>3037.5</v>
      </c>
      <c r="N138" s="32">
        <v>3037.5</v>
      </c>
      <c r="O138" s="32"/>
      <c r="P138" t="str">
        <f>VLOOKUP(G138,'GST + Invocie No'!$B$4:$Y$185,24,0)</f>
        <v>Book And 2B Match</v>
      </c>
    </row>
    <row r="139" spans="1:16" x14ac:dyDescent="0.3">
      <c r="A139" s="30">
        <v>46054</v>
      </c>
      <c r="B139" s="5" t="s">
        <v>51</v>
      </c>
      <c r="C139" s="5" t="s">
        <v>80</v>
      </c>
      <c r="D139" s="6" t="s">
        <v>60</v>
      </c>
      <c r="E139" s="6"/>
      <c r="F139" s="5" t="s">
        <v>223</v>
      </c>
      <c r="G139" s="10" t="str">
        <f t="shared" si="2"/>
        <v>27AAWFM3818Q1Z9_MCO25261116</v>
      </c>
      <c r="H139" s="7">
        <v>46055</v>
      </c>
      <c r="I139" s="32">
        <v>39825</v>
      </c>
      <c r="J139" s="32">
        <v>33750</v>
      </c>
      <c r="K139" s="9">
        <v>18</v>
      </c>
      <c r="L139" s="32">
        <v>0</v>
      </c>
      <c r="M139" s="32">
        <v>3037.5</v>
      </c>
      <c r="N139" s="32">
        <v>3037.5</v>
      </c>
      <c r="O139" s="32"/>
      <c r="P139" t="str">
        <f>VLOOKUP(G139,'GST + Invocie No'!$B$4:$Y$185,24,0)</f>
        <v>Book And 2B Match</v>
      </c>
    </row>
    <row r="140" spans="1:16" x14ac:dyDescent="0.3">
      <c r="A140" s="30">
        <v>46054</v>
      </c>
      <c r="B140" s="5" t="s">
        <v>56</v>
      </c>
      <c r="C140" s="5" t="s">
        <v>85</v>
      </c>
      <c r="D140" s="6" t="s">
        <v>60</v>
      </c>
      <c r="E140" s="6"/>
      <c r="F140" s="5" t="s">
        <v>224</v>
      </c>
      <c r="G140" s="10" t="str">
        <f t="shared" si="2"/>
        <v>27AACCL9508M1Z1_IRG/2526/0028267</v>
      </c>
      <c r="H140" s="7">
        <v>46078</v>
      </c>
      <c r="I140" s="32">
        <v>10207</v>
      </c>
      <c r="J140" s="32">
        <v>8650</v>
      </c>
      <c r="K140" s="9">
        <v>18</v>
      </c>
      <c r="L140" s="32">
        <v>0</v>
      </c>
      <c r="M140" s="32">
        <v>778.5</v>
      </c>
      <c r="N140" s="32">
        <v>778.5</v>
      </c>
      <c r="O140" s="32"/>
      <c r="P140" t="str">
        <f>VLOOKUP(G140,'GST + Invocie No'!$B$4:$Y$185,24,0)</f>
        <v>Book And 2B Match</v>
      </c>
    </row>
    <row r="141" spans="1:16" x14ac:dyDescent="0.3">
      <c r="A141" s="30">
        <v>45992</v>
      </c>
      <c r="B141" s="5" t="s">
        <v>57</v>
      </c>
      <c r="C141" s="5" t="s">
        <v>86</v>
      </c>
      <c r="D141" s="6" t="s">
        <v>61</v>
      </c>
      <c r="E141" s="6"/>
      <c r="F141" s="5" t="s">
        <v>225</v>
      </c>
      <c r="G141" s="10" t="str">
        <f t="shared" si="2"/>
        <v>27AAACI1195H1ZM_0138251355278901</v>
      </c>
      <c r="H141" s="7">
        <v>46002</v>
      </c>
      <c r="I141" s="32">
        <v>2360</v>
      </c>
      <c r="J141" s="32">
        <v>2000</v>
      </c>
      <c r="K141" s="9">
        <v>18</v>
      </c>
      <c r="L141" s="32">
        <v>0</v>
      </c>
      <c r="M141" s="32">
        <v>180</v>
      </c>
      <c r="N141" s="32">
        <v>180</v>
      </c>
      <c r="O141" s="32"/>
      <c r="P141" t="str">
        <f>VLOOKUP(G141,'GST + Invocie No'!$B$4:$Y$185,24,0)</f>
        <v>Book And 2B Match</v>
      </c>
    </row>
    <row r="142" spans="1:16" x14ac:dyDescent="0.3">
      <c r="A142" s="30">
        <v>46054</v>
      </c>
      <c r="B142" s="5" t="s">
        <v>57</v>
      </c>
      <c r="C142" s="5" t="s">
        <v>86</v>
      </c>
      <c r="D142" s="6" t="s">
        <v>61</v>
      </c>
      <c r="E142" s="6"/>
      <c r="F142" s="5" t="s">
        <v>226</v>
      </c>
      <c r="G142" s="10" t="str">
        <f t="shared" si="2"/>
        <v>27AAACI1195H1ZM_0138261372750757</v>
      </c>
      <c r="H142" s="7">
        <v>46058</v>
      </c>
      <c r="I142" s="32">
        <v>17.700000000000003</v>
      </c>
      <c r="J142" s="32">
        <v>15</v>
      </c>
      <c r="K142" s="9">
        <v>18</v>
      </c>
      <c r="L142" s="32">
        <v>0</v>
      </c>
      <c r="M142" s="32">
        <v>1.35</v>
      </c>
      <c r="N142" s="32">
        <v>1.35</v>
      </c>
      <c r="O142" s="32"/>
      <c r="P142" t="str">
        <f>VLOOKUP(G142,'GST + Invocie No'!$B$4:$Y$185,24,0)</f>
        <v>Book And 2B Match</v>
      </c>
    </row>
    <row r="143" spans="1:16" x14ac:dyDescent="0.3">
      <c r="A143" s="30">
        <v>46054</v>
      </c>
      <c r="B143" s="5" t="s">
        <v>57</v>
      </c>
      <c r="C143" s="5" t="s">
        <v>86</v>
      </c>
      <c r="D143" s="6" t="s">
        <v>61</v>
      </c>
      <c r="E143" s="6"/>
      <c r="F143" s="5" t="s">
        <v>227</v>
      </c>
      <c r="G143" s="10" t="str">
        <f t="shared" si="2"/>
        <v>27AAACI1195H1ZM_0138261384051212</v>
      </c>
      <c r="H143" s="7">
        <v>46080</v>
      </c>
      <c r="I143" s="32">
        <v>529407</v>
      </c>
      <c r="J143" s="32">
        <v>448650</v>
      </c>
      <c r="K143" s="9">
        <v>18</v>
      </c>
      <c r="L143" s="32">
        <v>0</v>
      </c>
      <c r="M143" s="32">
        <v>40378.5</v>
      </c>
      <c r="N143" s="32">
        <v>40378.5</v>
      </c>
      <c r="O143" s="32"/>
      <c r="P143" t="str">
        <f>VLOOKUP(G143,'GST + Invocie No'!$B$4:$Y$185,24,0)</f>
        <v>Book And 2B Match</v>
      </c>
    </row>
    <row r="144" spans="1:16" x14ac:dyDescent="0.3">
      <c r="A144" s="30">
        <v>46054</v>
      </c>
      <c r="B144" s="5" t="s">
        <v>57</v>
      </c>
      <c r="C144" s="5" t="s">
        <v>86</v>
      </c>
      <c r="D144" s="6" t="s">
        <v>61</v>
      </c>
      <c r="E144" s="6"/>
      <c r="F144" s="5" t="s">
        <v>228</v>
      </c>
      <c r="G144" s="10" t="str">
        <f t="shared" si="2"/>
        <v>27AAACI1195H1ZM_0138261384181047</v>
      </c>
      <c r="H144" s="7">
        <v>46081</v>
      </c>
      <c r="I144" s="32">
        <v>235764</v>
      </c>
      <c r="J144" s="32">
        <v>199800</v>
      </c>
      <c r="K144" s="9">
        <v>18</v>
      </c>
      <c r="L144" s="32">
        <v>0</v>
      </c>
      <c r="M144" s="32">
        <v>17982</v>
      </c>
      <c r="N144" s="32">
        <v>17982</v>
      </c>
      <c r="O144" s="32"/>
      <c r="P144" t="str">
        <f>VLOOKUP(G144,'GST + Invocie No'!$B$4:$Y$185,24,0)</f>
        <v>Book And 2B Match</v>
      </c>
    </row>
    <row r="145" spans="1:16" x14ac:dyDescent="0.3">
      <c r="A145" s="30">
        <v>46054</v>
      </c>
      <c r="B145" s="5" t="s">
        <v>57</v>
      </c>
      <c r="C145" s="5" t="s">
        <v>86</v>
      </c>
      <c r="D145" s="6" t="s">
        <v>61</v>
      </c>
      <c r="E145" s="6"/>
      <c r="F145" s="5" t="s">
        <v>229</v>
      </c>
      <c r="G145" s="10" t="str">
        <f t="shared" si="2"/>
        <v>27AAACI1195H1ZM_0138261384181210</v>
      </c>
      <c r="H145" s="7">
        <v>46081</v>
      </c>
      <c r="I145" s="32">
        <v>236</v>
      </c>
      <c r="J145" s="32">
        <v>200</v>
      </c>
      <c r="K145" s="9">
        <v>18</v>
      </c>
      <c r="L145" s="32">
        <v>0</v>
      </c>
      <c r="M145" s="32">
        <v>18</v>
      </c>
      <c r="N145" s="32">
        <v>18</v>
      </c>
      <c r="O145" s="32"/>
      <c r="P145" t="str">
        <f>VLOOKUP(G145,'GST + Invocie No'!$B$4:$Y$185,24,0)</f>
        <v>Book And 2B Match</v>
      </c>
    </row>
    <row r="146" spans="1:16" x14ac:dyDescent="0.3">
      <c r="A146" s="30">
        <v>46082</v>
      </c>
      <c r="B146" s="5" t="s">
        <v>57</v>
      </c>
      <c r="C146" s="5" t="s">
        <v>86</v>
      </c>
      <c r="D146" s="6" t="s">
        <v>61</v>
      </c>
      <c r="E146" s="6"/>
      <c r="F146" s="5" t="s">
        <v>230</v>
      </c>
      <c r="G146" s="10" t="str">
        <f t="shared" si="2"/>
        <v>27AAACI1195H1ZM_0138261386221113</v>
      </c>
      <c r="H146" s="7">
        <v>46088</v>
      </c>
      <c r="I146" s="32">
        <v>1.1800000000000002</v>
      </c>
      <c r="J146" s="32">
        <v>1</v>
      </c>
      <c r="K146" s="9">
        <v>18</v>
      </c>
      <c r="L146" s="32">
        <v>0</v>
      </c>
      <c r="M146" s="32">
        <v>0.09</v>
      </c>
      <c r="N146" s="32">
        <v>0.09</v>
      </c>
      <c r="O146" s="32"/>
      <c r="P146" t="str">
        <f>VLOOKUP(G146,'GST + Invocie No'!$B$4:$Y$185,24,0)</f>
        <v>Book And 2B Match</v>
      </c>
    </row>
    <row r="147" spans="1:16" x14ac:dyDescent="0.3">
      <c r="A147" s="30">
        <v>46082</v>
      </c>
      <c r="B147" s="5" t="s">
        <v>51</v>
      </c>
      <c r="C147" s="5" t="s">
        <v>80</v>
      </c>
      <c r="D147" s="6" t="s">
        <v>60</v>
      </c>
      <c r="E147" s="6"/>
      <c r="F147" s="5" t="s">
        <v>231</v>
      </c>
      <c r="G147" s="10" t="str">
        <f t="shared" si="2"/>
        <v>27AAWFM3818Q1Z9_MCO25261216</v>
      </c>
      <c r="H147" s="7">
        <v>46085</v>
      </c>
      <c r="I147" s="32">
        <v>39825</v>
      </c>
      <c r="J147" s="32">
        <v>33750</v>
      </c>
      <c r="K147" s="9">
        <v>18</v>
      </c>
      <c r="L147" s="32">
        <v>0</v>
      </c>
      <c r="M147" s="32">
        <v>3037.5</v>
      </c>
      <c r="N147" s="32">
        <v>3037.5</v>
      </c>
      <c r="O147" s="32"/>
      <c r="P147" t="str">
        <f>VLOOKUP(G147,'GST + Invocie No'!$B$4:$Y$185,24,0)</f>
        <v>Book And 2B Match</v>
      </c>
    </row>
    <row r="148" spans="1:16" x14ac:dyDescent="0.3">
      <c r="A148" s="30">
        <v>46082</v>
      </c>
      <c r="B148" s="5" t="s">
        <v>58</v>
      </c>
      <c r="C148" s="5" t="s">
        <v>87</v>
      </c>
      <c r="D148" s="6" t="s">
        <v>60</v>
      </c>
      <c r="E148" s="6"/>
      <c r="F148" s="5" t="s">
        <v>232</v>
      </c>
      <c r="G148" s="10" t="str">
        <f t="shared" si="2"/>
        <v>27AAGCB5066J1ZG_TXN/25-26/1136</v>
      </c>
      <c r="H148" s="7">
        <v>46106</v>
      </c>
      <c r="I148" s="32">
        <v>42120.100000000006</v>
      </c>
      <c r="J148" s="32">
        <v>35695</v>
      </c>
      <c r="K148" s="9">
        <v>18</v>
      </c>
      <c r="L148" s="32">
        <v>0</v>
      </c>
      <c r="M148" s="32">
        <v>3212.55</v>
      </c>
      <c r="N148" s="32">
        <v>3212.55</v>
      </c>
      <c r="O148" s="32"/>
      <c r="P148" t="str">
        <f>VLOOKUP(G148,'GST + Invocie No'!$B$4:$Y$185,24,0)</f>
        <v>Book And 2B Match</v>
      </c>
    </row>
    <row r="149" spans="1:16" x14ac:dyDescent="0.3">
      <c r="A149" s="30">
        <v>45809</v>
      </c>
      <c r="B149" s="5" t="s">
        <v>48</v>
      </c>
      <c r="C149" s="5" t="s">
        <v>77</v>
      </c>
      <c r="D149" s="6" t="s">
        <v>62</v>
      </c>
      <c r="E149" s="6"/>
      <c r="F149" s="5" t="s">
        <v>233</v>
      </c>
      <c r="G149" s="10" t="str">
        <f t="shared" si="2"/>
        <v>06AABCF5150G1ZZ_ADS406-104513598</v>
      </c>
      <c r="H149" s="7">
        <v>45821</v>
      </c>
      <c r="I149" s="32">
        <v>-0.47</v>
      </c>
      <c r="J149" s="32">
        <v>-0.4</v>
      </c>
      <c r="K149" s="9">
        <v>18</v>
      </c>
      <c r="L149" s="32">
        <v>-7.0000000000000007E-2</v>
      </c>
      <c r="M149" s="32">
        <v>0</v>
      </c>
      <c r="N149" s="32">
        <v>0</v>
      </c>
      <c r="O149" s="32"/>
      <c r="P149" t="str">
        <f>VLOOKUP(G149,'GST + Invocie No'!$B$4:$Y$185,24,0)</f>
        <v>Book And 2B Match</v>
      </c>
    </row>
    <row r="150" spans="1:16" x14ac:dyDescent="0.3">
      <c r="A150" s="30">
        <v>45809</v>
      </c>
      <c r="B150" s="5" t="s">
        <v>51</v>
      </c>
      <c r="C150" s="5" t="s">
        <v>80</v>
      </c>
      <c r="D150" s="6" t="s">
        <v>62</v>
      </c>
      <c r="E150" s="6"/>
      <c r="F150" s="5" t="s">
        <v>234</v>
      </c>
      <c r="G150" s="10" t="str">
        <f t="shared" si="2"/>
        <v>27AAWFM3818Q1Z9_MCO24251562</v>
      </c>
      <c r="H150" s="7">
        <v>45731</v>
      </c>
      <c r="I150" s="32">
        <v>-36875</v>
      </c>
      <c r="J150" s="32">
        <v>-31250</v>
      </c>
      <c r="K150" s="9">
        <v>18</v>
      </c>
      <c r="L150" s="32">
        <v>0</v>
      </c>
      <c r="M150" s="32">
        <v>-2812.5</v>
      </c>
      <c r="N150" s="32">
        <v>-2812.5</v>
      </c>
      <c r="O150" s="32"/>
      <c r="P150" t="str">
        <f>VLOOKUP(G150,'GST + Invocie No'!$B$4:$Y$185,24,0)</f>
        <v>Book And 2B Match-Invocies No Mis-Match</v>
      </c>
    </row>
    <row r="151" spans="1:16" x14ac:dyDescent="0.3">
      <c r="A151" s="30">
        <v>46023</v>
      </c>
      <c r="B151" s="5" t="s">
        <v>46</v>
      </c>
      <c r="C151" s="5" t="s">
        <v>75</v>
      </c>
      <c r="D151" s="6" t="s">
        <v>62</v>
      </c>
      <c r="E151" s="6"/>
      <c r="F151" s="5" t="s">
        <v>148</v>
      </c>
      <c r="G151" s="10" t="str">
        <f t="shared" ref="G151" si="3">CONCATENATE(C151,"_",F151)</f>
        <v>06AAKCG3365R1ZX_RC-3126</v>
      </c>
      <c r="H151" s="7">
        <v>46009</v>
      </c>
      <c r="I151" s="32">
        <v>-88500</v>
      </c>
      <c r="J151" s="32">
        <v>-75000</v>
      </c>
      <c r="K151" s="9">
        <v>18</v>
      </c>
      <c r="L151" s="32">
        <v>-13500</v>
      </c>
      <c r="M151" s="32">
        <v>0</v>
      </c>
      <c r="N151" s="32">
        <v>0</v>
      </c>
      <c r="O151" s="32"/>
      <c r="P151" t="str">
        <f>VLOOKUP(G151,'GST + Invocie No'!$B$4:$Y$185,24,0)</f>
        <v>Book And 2B Match</v>
      </c>
    </row>
    <row r="152" spans="1:16" x14ac:dyDescent="0.3">
      <c r="A152" s="5"/>
      <c r="B152" s="5"/>
      <c r="C152" s="5"/>
      <c r="D152" s="6"/>
      <c r="E152" s="6"/>
      <c r="F152" s="5"/>
      <c r="G152" s="10"/>
      <c r="H152" s="7"/>
      <c r="I152" s="32"/>
      <c r="J152" s="32"/>
      <c r="K152" s="9"/>
      <c r="L152" s="32"/>
      <c r="M152" s="32"/>
      <c r="N152" s="32"/>
      <c r="O152" s="32"/>
    </row>
    <row r="153" spans="1:16" x14ac:dyDescent="0.3">
      <c r="A153" s="5"/>
      <c r="B153" s="5"/>
      <c r="C153" s="5"/>
      <c r="D153" s="6"/>
      <c r="E153" s="6"/>
      <c r="F153" s="5"/>
      <c r="G153" s="10"/>
      <c r="H153" s="7"/>
      <c r="I153" s="32"/>
      <c r="J153" s="32"/>
      <c r="K153" s="9"/>
      <c r="L153" s="32">
        <f>SUM(L4:L152)</f>
        <v>47697574.879999988</v>
      </c>
      <c r="M153" s="32">
        <f>SUM(M4:M152)</f>
        <v>3539638.4700000007</v>
      </c>
      <c r="N153" s="32">
        <f>SUM(N4:N152)</f>
        <v>3539638.4700000007</v>
      </c>
      <c r="O153" s="32"/>
    </row>
    <row r="154" spans="1:16" x14ac:dyDescent="0.3">
      <c r="A154" s="5"/>
      <c r="B154" s="5"/>
      <c r="C154" s="5"/>
      <c r="D154" s="6"/>
      <c r="E154" s="6"/>
      <c r="F154" s="5"/>
      <c r="G154" s="10"/>
      <c r="H154" s="7"/>
      <c r="I154" s="32"/>
      <c r="J154" s="32"/>
      <c r="K154" s="9"/>
      <c r="L154" s="32"/>
      <c r="M154" s="32"/>
      <c r="N154" s="32"/>
      <c r="O154" s="32"/>
    </row>
    <row r="155" spans="1:16" x14ac:dyDescent="0.3">
      <c r="A155" s="5"/>
      <c r="B155" s="5"/>
      <c r="C155" s="5"/>
      <c r="D155" s="6"/>
      <c r="E155" s="6"/>
      <c r="F155" s="5"/>
      <c r="G155" s="10"/>
      <c r="H155" s="7"/>
      <c r="I155" s="32"/>
      <c r="J155" s="32"/>
      <c r="K155" s="9"/>
      <c r="L155" s="32">
        <v>47697574.880000003</v>
      </c>
      <c r="M155" s="32">
        <v>3539638.47</v>
      </c>
      <c r="N155" s="32">
        <v>3539638.47</v>
      </c>
      <c r="O155" s="32"/>
    </row>
    <row r="156" spans="1:16" x14ac:dyDescent="0.3">
      <c r="A156" s="5"/>
      <c r="B156" s="5"/>
      <c r="C156" s="5"/>
      <c r="D156" s="6"/>
      <c r="E156" s="6"/>
      <c r="F156" s="5"/>
      <c r="G156" s="10"/>
      <c r="H156" s="7"/>
      <c r="I156" s="32"/>
      <c r="J156" s="32"/>
      <c r="K156" s="9"/>
      <c r="L156" s="32"/>
      <c r="M156" s="32"/>
      <c r="N156" s="32"/>
      <c r="O156" s="32"/>
    </row>
    <row r="157" spans="1:16" ht="15" thickBot="1" x14ac:dyDescent="0.35">
      <c r="A157" s="5"/>
      <c r="B157" s="5"/>
      <c r="C157" s="5"/>
      <c r="D157" s="6"/>
      <c r="E157" s="6"/>
      <c r="F157" s="5"/>
      <c r="G157" s="10"/>
      <c r="H157" s="7"/>
      <c r="I157" s="32"/>
      <c r="J157" s="32"/>
      <c r="K157" s="9"/>
      <c r="L157" s="33">
        <f>+L153-L155</f>
        <v>0</v>
      </c>
      <c r="M157" s="33">
        <f t="shared" ref="M157:N157" si="4">+M153-M155</f>
        <v>0</v>
      </c>
      <c r="N157" s="33">
        <f t="shared" si="4"/>
        <v>0</v>
      </c>
      <c r="O157" s="32"/>
    </row>
    <row r="158" spans="1:16" ht="15" thickTop="1" x14ac:dyDescent="0.3">
      <c r="A158" s="5"/>
      <c r="B158" s="5"/>
      <c r="C158" s="5"/>
      <c r="D158" s="6"/>
      <c r="E158" s="6"/>
      <c r="F158" s="5"/>
      <c r="G158" s="10"/>
      <c r="H158" s="7"/>
      <c r="I158" s="32"/>
      <c r="J158" s="32"/>
      <c r="K158" s="9"/>
      <c r="L158" s="32"/>
      <c r="M158" s="32"/>
      <c r="N158" s="32"/>
      <c r="O158" s="32"/>
    </row>
    <row r="159" spans="1:16" x14ac:dyDescent="0.3">
      <c r="A159" s="5"/>
      <c r="B159" s="5"/>
      <c r="C159" s="5"/>
      <c r="D159" s="6"/>
      <c r="E159" s="6"/>
      <c r="F159" s="5"/>
      <c r="G159" s="10"/>
      <c r="H159" s="7"/>
      <c r="I159" s="32"/>
      <c r="J159" s="32"/>
      <c r="K159" s="9"/>
      <c r="L159" s="32"/>
      <c r="M159" s="32"/>
      <c r="N159" s="32"/>
      <c r="O159" s="32"/>
    </row>
    <row r="160" spans="1:16" x14ac:dyDescent="0.3">
      <c r="A160" s="5"/>
      <c r="B160" s="5"/>
      <c r="C160" s="5"/>
      <c r="D160" s="6"/>
      <c r="E160" s="6"/>
      <c r="F160" s="5"/>
      <c r="G160" s="10"/>
      <c r="H160" s="7"/>
      <c r="I160" s="32"/>
      <c r="J160" s="32"/>
      <c r="K160" s="9"/>
      <c r="L160" s="32"/>
      <c r="M160" s="32"/>
      <c r="N160" s="32"/>
      <c r="O160" s="32"/>
    </row>
    <row r="161" spans="1:15" x14ac:dyDescent="0.3">
      <c r="A161" s="5"/>
      <c r="B161" s="5"/>
      <c r="C161" s="5"/>
      <c r="D161" s="6"/>
      <c r="E161" s="6"/>
      <c r="F161" s="5"/>
      <c r="G161" s="10"/>
      <c r="H161" s="7"/>
      <c r="I161" s="32"/>
      <c r="J161" s="32"/>
      <c r="K161" s="9"/>
      <c r="L161" s="32"/>
      <c r="M161" s="32"/>
      <c r="N161" s="32"/>
      <c r="O161" s="32"/>
    </row>
    <row r="162" spans="1:15" x14ac:dyDescent="0.3">
      <c r="A162" s="5"/>
      <c r="B162" s="5"/>
      <c r="C162" s="5"/>
      <c r="D162" s="6"/>
      <c r="E162" s="6"/>
      <c r="F162" s="5"/>
      <c r="G162" s="10"/>
      <c r="H162" s="7"/>
      <c r="I162" s="32"/>
      <c r="J162" s="32"/>
      <c r="K162" s="9"/>
      <c r="L162" s="32"/>
      <c r="M162" s="32"/>
      <c r="N162" s="32"/>
      <c r="O162" s="32"/>
    </row>
    <row r="163" spans="1:15" x14ac:dyDescent="0.3">
      <c r="A163" s="5"/>
      <c r="B163" s="5"/>
      <c r="C163" s="5"/>
      <c r="D163" s="6"/>
      <c r="E163" s="6"/>
      <c r="F163" s="5"/>
      <c r="G163" s="10"/>
      <c r="H163" s="7"/>
      <c r="I163" s="32"/>
      <c r="J163" s="32"/>
      <c r="K163" s="9"/>
      <c r="L163" s="32"/>
      <c r="M163" s="32"/>
      <c r="N163" s="32"/>
      <c r="O163" s="32"/>
    </row>
    <row r="164" spans="1:15" x14ac:dyDescent="0.3">
      <c r="A164" s="5"/>
      <c r="B164" s="5"/>
      <c r="C164" s="5"/>
      <c r="D164" s="6"/>
      <c r="E164" s="6"/>
      <c r="F164" s="5"/>
      <c r="G164" s="10"/>
      <c r="H164" s="7"/>
      <c r="I164" s="32"/>
      <c r="J164" s="32"/>
      <c r="K164" s="9"/>
      <c r="L164" s="32"/>
      <c r="M164" s="32"/>
      <c r="N164" s="32"/>
      <c r="O164" s="32"/>
    </row>
    <row r="165" spans="1:15" x14ac:dyDescent="0.3">
      <c r="A165" s="5"/>
      <c r="B165" s="5"/>
      <c r="C165" s="5"/>
      <c r="D165" s="6"/>
      <c r="E165" s="6"/>
      <c r="F165" s="5"/>
      <c r="G165" s="10"/>
      <c r="H165" s="7"/>
      <c r="I165" s="32"/>
      <c r="J165" s="32"/>
      <c r="K165" s="9"/>
      <c r="L165" s="32"/>
      <c r="M165" s="32"/>
      <c r="N165" s="32"/>
      <c r="O165" s="32"/>
    </row>
    <row r="166" spans="1:15" x14ac:dyDescent="0.3">
      <c r="A166" s="5"/>
      <c r="B166" s="5"/>
      <c r="C166" s="5"/>
      <c r="D166" s="6"/>
      <c r="E166" s="6"/>
      <c r="F166" s="5"/>
      <c r="G166" s="10"/>
      <c r="H166" s="7"/>
      <c r="I166" s="32"/>
      <c r="J166" s="32"/>
      <c r="K166" s="9"/>
      <c r="L166" s="32"/>
      <c r="M166" s="32"/>
      <c r="N166" s="32"/>
      <c r="O166" s="32"/>
    </row>
    <row r="167" spans="1:15" x14ac:dyDescent="0.3">
      <c r="A167" s="5"/>
      <c r="B167" s="5"/>
      <c r="C167" s="5"/>
      <c r="D167" s="6"/>
      <c r="E167" s="6"/>
      <c r="F167" s="5"/>
      <c r="G167" s="10"/>
      <c r="H167" s="7"/>
      <c r="I167" s="32"/>
      <c r="J167" s="32"/>
      <c r="K167" s="9"/>
      <c r="L167" s="32"/>
      <c r="M167" s="32"/>
      <c r="N167" s="32"/>
      <c r="O167" s="32"/>
    </row>
    <row r="168" spans="1:15" x14ac:dyDescent="0.3">
      <c r="A168" s="5"/>
      <c r="B168" s="5"/>
      <c r="C168" s="5"/>
      <c r="D168" s="6"/>
      <c r="E168" s="6"/>
      <c r="F168" s="5"/>
      <c r="G168" s="10"/>
      <c r="H168" s="7"/>
      <c r="I168" s="32"/>
      <c r="J168" s="32"/>
      <c r="K168" s="9"/>
      <c r="L168" s="32"/>
      <c r="M168" s="32"/>
      <c r="N168" s="32"/>
      <c r="O168" s="32"/>
    </row>
    <row r="169" spans="1:15" x14ac:dyDescent="0.3">
      <c r="A169" s="5"/>
      <c r="B169" s="5"/>
      <c r="C169" s="5"/>
      <c r="D169" s="6"/>
      <c r="E169" s="6"/>
      <c r="F169" s="5"/>
      <c r="G169" s="10"/>
      <c r="H169" s="7"/>
      <c r="I169" s="32"/>
      <c r="J169" s="32"/>
      <c r="K169" s="9"/>
      <c r="L169" s="32"/>
      <c r="M169" s="32"/>
      <c r="N169" s="32"/>
      <c r="O169" s="32"/>
    </row>
    <row r="170" spans="1:15" x14ac:dyDescent="0.3">
      <c r="A170" s="5"/>
      <c r="B170" s="5"/>
      <c r="C170" s="5"/>
      <c r="D170" s="6"/>
      <c r="E170" s="6"/>
      <c r="F170" s="5"/>
      <c r="G170" s="10"/>
      <c r="H170" s="7"/>
      <c r="I170" s="32"/>
      <c r="J170" s="32"/>
      <c r="K170" s="9"/>
      <c r="L170" s="32"/>
      <c r="M170" s="32"/>
      <c r="N170" s="32"/>
      <c r="O170" s="32"/>
    </row>
    <row r="171" spans="1:15" x14ac:dyDescent="0.3">
      <c r="A171" s="5"/>
      <c r="B171" s="5"/>
      <c r="C171" s="5"/>
      <c r="D171" s="6"/>
      <c r="E171" s="6"/>
      <c r="F171" s="5"/>
      <c r="G171" s="10"/>
      <c r="H171" s="7"/>
      <c r="I171" s="32"/>
      <c r="J171" s="32"/>
      <c r="K171" s="9"/>
      <c r="L171" s="32"/>
      <c r="M171" s="32"/>
      <c r="N171" s="32"/>
      <c r="O171" s="32"/>
    </row>
    <row r="172" spans="1:15" x14ac:dyDescent="0.3">
      <c r="A172" s="5"/>
      <c r="B172" s="5"/>
      <c r="C172" s="5"/>
      <c r="D172" s="6"/>
      <c r="E172" s="6"/>
      <c r="F172" s="5"/>
      <c r="G172" s="10"/>
      <c r="H172" s="7"/>
      <c r="I172" s="32"/>
      <c r="J172" s="32"/>
      <c r="K172" s="9"/>
      <c r="L172" s="32"/>
      <c r="M172" s="32"/>
      <c r="N172" s="32"/>
      <c r="O172" s="32"/>
    </row>
    <row r="173" spans="1:15" x14ac:dyDescent="0.3">
      <c r="A173" s="5"/>
      <c r="B173" s="5"/>
      <c r="C173" s="5"/>
      <c r="D173" s="6"/>
      <c r="E173" s="6"/>
      <c r="F173" s="5"/>
      <c r="G173" s="10"/>
      <c r="H173" s="7"/>
      <c r="I173" s="32"/>
      <c r="J173" s="32"/>
      <c r="K173" s="9"/>
      <c r="L173" s="32"/>
      <c r="M173" s="32"/>
      <c r="N173" s="32"/>
      <c r="O173" s="32"/>
    </row>
    <row r="174" spans="1:15" x14ac:dyDescent="0.3">
      <c r="A174" s="5"/>
      <c r="B174" s="5"/>
      <c r="C174" s="5"/>
      <c r="D174" s="6"/>
      <c r="E174" s="6"/>
      <c r="F174" s="5"/>
      <c r="G174" s="10"/>
      <c r="H174" s="7"/>
      <c r="I174" s="32"/>
      <c r="J174" s="32"/>
      <c r="K174" s="9"/>
      <c r="L174" s="32"/>
      <c r="M174" s="32"/>
      <c r="N174" s="32"/>
      <c r="O174" s="32"/>
    </row>
    <row r="175" spans="1:15" x14ac:dyDescent="0.3">
      <c r="A175" s="5"/>
      <c r="B175" s="5"/>
      <c r="C175" s="5"/>
      <c r="D175" s="6"/>
      <c r="E175" s="6"/>
      <c r="F175" s="5"/>
      <c r="G175" s="10"/>
      <c r="H175" s="7"/>
      <c r="I175" s="32"/>
      <c r="J175" s="32"/>
      <c r="K175" s="9"/>
      <c r="L175" s="32"/>
      <c r="M175" s="32"/>
      <c r="N175" s="32"/>
      <c r="O175" s="32"/>
    </row>
    <row r="176" spans="1:15" x14ac:dyDescent="0.3">
      <c r="A176" s="5"/>
      <c r="B176" s="5"/>
      <c r="C176" s="5"/>
      <c r="D176" s="6"/>
      <c r="E176" s="6"/>
      <c r="F176" s="5"/>
      <c r="G176" s="10"/>
      <c r="H176" s="7"/>
      <c r="I176" s="32"/>
      <c r="J176" s="32"/>
      <c r="K176" s="9"/>
      <c r="L176" s="32"/>
      <c r="M176" s="32"/>
      <c r="N176" s="32"/>
      <c r="O176" s="32"/>
    </row>
    <row r="177" spans="1:15" x14ac:dyDescent="0.3">
      <c r="A177" s="5"/>
      <c r="B177" s="5"/>
      <c r="C177" s="5"/>
      <c r="D177" s="6"/>
      <c r="E177" s="6"/>
      <c r="F177" s="5"/>
      <c r="G177" s="10"/>
      <c r="H177" s="7"/>
      <c r="I177" s="32"/>
      <c r="J177" s="32"/>
      <c r="K177" s="9"/>
      <c r="L177" s="32"/>
      <c r="M177" s="32"/>
      <c r="N177" s="32"/>
      <c r="O177" s="32"/>
    </row>
    <row r="178" spans="1:15" x14ac:dyDescent="0.3">
      <c r="A178" s="5"/>
      <c r="B178" s="5"/>
      <c r="C178" s="5"/>
      <c r="D178" s="6"/>
      <c r="E178" s="6"/>
      <c r="F178" s="5"/>
      <c r="G178" s="10"/>
      <c r="H178" s="7"/>
      <c r="I178" s="32"/>
      <c r="J178" s="32"/>
      <c r="K178" s="9"/>
      <c r="L178" s="32"/>
      <c r="M178" s="32"/>
      <c r="N178" s="32"/>
      <c r="O178" s="32"/>
    </row>
    <row r="179" spans="1:15" x14ac:dyDescent="0.3">
      <c r="A179" s="5"/>
      <c r="B179" s="5"/>
      <c r="C179" s="5"/>
      <c r="D179" s="6"/>
      <c r="E179" s="6"/>
      <c r="F179" s="5"/>
      <c r="G179" s="10"/>
      <c r="H179" s="7"/>
      <c r="I179" s="32"/>
      <c r="J179" s="32"/>
      <c r="K179" s="9"/>
      <c r="L179" s="32"/>
      <c r="M179" s="32"/>
      <c r="N179" s="32"/>
      <c r="O179" s="32"/>
    </row>
    <row r="180" spans="1:15" x14ac:dyDescent="0.3">
      <c r="A180" s="5"/>
      <c r="B180" s="5"/>
      <c r="C180" s="5"/>
      <c r="D180" s="6"/>
      <c r="E180" s="6"/>
      <c r="F180" s="5"/>
      <c r="G180" s="10"/>
      <c r="H180" s="7"/>
      <c r="I180" s="32"/>
      <c r="J180" s="32"/>
      <c r="K180" s="9"/>
      <c r="L180" s="32"/>
      <c r="M180" s="32"/>
      <c r="N180" s="32"/>
      <c r="O180" s="32"/>
    </row>
    <row r="181" spans="1:15" x14ac:dyDescent="0.3">
      <c r="A181" s="5"/>
      <c r="B181" s="5"/>
      <c r="C181" s="5"/>
      <c r="D181" s="6"/>
      <c r="E181" s="6"/>
      <c r="F181" s="5"/>
      <c r="G181" s="10"/>
      <c r="H181" s="7"/>
      <c r="I181" s="32"/>
      <c r="J181" s="32"/>
      <c r="K181" s="9"/>
      <c r="L181" s="32"/>
      <c r="M181" s="32"/>
      <c r="N181" s="32"/>
      <c r="O181" s="32"/>
    </row>
    <row r="182" spans="1:15" x14ac:dyDescent="0.3">
      <c r="A182" s="5"/>
      <c r="B182" s="5"/>
      <c r="C182" s="5"/>
      <c r="D182" s="6"/>
      <c r="E182" s="6"/>
      <c r="F182" s="5"/>
      <c r="G182" s="10"/>
      <c r="H182" s="7"/>
      <c r="I182" s="32"/>
      <c r="J182" s="32"/>
      <c r="K182" s="9"/>
      <c r="L182" s="32"/>
      <c r="M182" s="32"/>
      <c r="N182" s="32"/>
      <c r="O182" s="32"/>
    </row>
    <row r="183" spans="1:15" x14ac:dyDescent="0.3">
      <c r="A183" s="5"/>
      <c r="B183" s="5"/>
      <c r="C183" s="5"/>
      <c r="D183" s="6"/>
      <c r="E183" s="6"/>
      <c r="F183" s="5"/>
      <c r="G183" s="10"/>
      <c r="H183" s="7"/>
      <c r="I183" s="32"/>
      <c r="J183" s="32"/>
      <c r="K183" s="9"/>
      <c r="L183" s="32"/>
      <c r="M183" s="32"/>
      <c r="N183" s="32"/>
      <c r="O183" s="32"/>
    </row>
    <row r="184" spans="1:15" x14ac:dyDescent="0.3">
      <c r="A184" s="5"/>
      <c r="B184" s="5"/>
      <c r="C184" s="5"/>
      <c r="D184" s="6"/>
      <c r="E184" s="6"/>
      <c r="F184" s="5"/>
      <c r="G184" s="10"/>
      <c r="H184" s="7"/>
      <c r="I184" s="32"/>
      <c r="J184" s="32"/>
      <c r="K184" s="9"/>
      <c r="L184" s="32"/>
      <c r="M184" s="32"/>
      <c r="N184" s="32"/>
      <c r="O184" s="32"/>
    </row>
    <row r="185" spans="1:15" x14ac:dyDescent="0.3">
      <c r="A185" s="5"/>
      <c r="B185" s="5"/>
      <c r="C185" s="5"/>
      <c r="D185" s="6"/>
      <c r="E185" s="6"/>
      <c r="F185" s="5"/>
      <c r="G185" s="10"/>
      <c r="H185" s="7"/>
      <c r="I185" s="32"/>
      <c r="J185" s="32"/>
      <c r="K185" s="9"/>
      <c r="L185" s="32"/>
      <c r="M185" s="32"/>
      <c r="N185" s="32"/>
      <c r="O185" s="32"/>
    </row>
    <row r="186" spans="1:15" x14ac:dyDescent="0.3">
      <c r="A186" s="5"/>
      <c r="B186" s="5"/>
      <c r="C186" s="5"/>
      <c r="D186" s="6"/>
      <c r="E186" s="6"/>
      <c r="F186" s="5"/>
      <c r="G186" s="10"/>
      <c r="H186" s="7"/>
      <c r="I186" s="32"/>
      <c r="J186" s="32"/>
      <c r="K186" s="9"/>
      <c r="L186" s="32"/>
      <c r="M186" s="32"/>
      <c r="N186" s="32"/>
      <c r="O186" s="32"/>
    </row>
    <row r="187" spans="1:15" x14ac:dyDescent="0.3">
      <c r="A187" s="5"/>
      <c r="B187" s="5"/>
      <c r="C187" s="5"/>
      <c r="D187" s="6"/>
      <c r="E187" s="6"/>
      <c r="F187" s="5"/>
      <c r="G187" s="10"/>
      <c r="H187" s="7"/>
      <c r="I187" s="32"/>
      <c r="J187" s="32"/>
      <c r="K187" s="9"/>
      <c r="L187" s="32"/>
      <c r="M187" s="32"/>
      <c r="N187" s="32"/>
      <c r="O187" s="32"/>
    </row>
    <row r="188" spans="1:15" x14ac:dyDescent="0.3">
      <c r="A188" s="5"/>
      <c r="B188" s="5"/>
      <c r="C188" s="5"/>
      <c r="D188" s="6"/>
      <c r="E188" s="6"/>
      <c r="F188" s="5"/>
      <c r="G188" s="10"/>
      <c r="H188" s="7"/>
      <c r="I188" s="32"/>
      <c r="J188" s="32"/>
      <c r="K188" s="9"/>
      <c r="L188" s="32"/>
      <c r="M188" s="32"/>
      <c r="N188" s="32"/>
      <c r="O188" s="32"/>
    </row>
    <row r="189" spans="1:15" x14ac:dyDescent="0.3">
      <c r="A189" s="5"/>
      <c r="B189" s="5"/>
      <c r="C189" s="5"/>
      <c r="D189" s="6"/>
      <c r="E189" s="6"/>
      <c r="F189" s="5"/>
      <c r="G189" s="10"/>
      <c r="H189" s="7"/>
      <c r="I189" s="32"/>
      <c r="J189" s="32"/>
      <c r="K189" s="9"/>
      <c r="L189" s="32"/>
      <c r="M189" s="32"/>
      <c r="N189" s="32"/>
      <c r="O189" s="32"/>
    </row>
    <row r="190" spans="1:15" x14ac:dyDescent="0.3">
      <c r="A190" s="5"/>
      <c r="B190" s="5"/>
      <c r="C190" s="5"/>
      <c r="D190" s="6"/>
      <c r="E190" s="6"/>
      <c r="F190" s="5"/>
      <c r="G190" s="10"/>
      <c r="H190" s="7"/>
      <c r="I190" s="32"/>
      <c r="J190" s="32"/>
      <c r="K190" s="9"/>
      <c r="L190" s="32"/>
      <c r="M190" s="32"/>
      <c r="N190" s="32"/>
      <c r="O190" s="32"/>
    </row>
    <row r="191" spans="1:15" x14ac:dyDescent="0.3">
      <c r="A191" s="5"/>
      <c r="B191" s="5"/>
      <c r="C191" s="5"/>
      <c r="D191" s="6"/>
      <c r="E191" s="6"/>
      <c r="F191" s="5"/>
      <c r="G191" s="10"/>
      <c r="H191" s="7"/>
      <c r="I191" s="32"/>
      <c r="J191" s="32"/>
      <c r="K191" s="9"/>
      <c r="L191" s="32"/>
      <c r="M191" s="32"/>
      <c r="N191" s="32"/>
      <c r="O191" s="32"/>
    </row>
    <row r="192" spans="1:15" x14ac:dyDescent="0.3">
      <c r="A192" s="5"/>
      <c r="B192" s="5"/>
      <c r="C192" s="5"/>
      <c r="D192" s="6"/>
      <c r="E192" s="6"/>
      <c r="F192" s="5"/>
      <c r="G192" s="10"/>
      <c r="H192" s="7"/>
      <c r="I192" s="32"/>
      <c r="J192" s="32"/>
      <c r="K192" s="9"/>
      <c r="L192" s="32"/>
      <c r="M192" s="32"/>
      <c r="N192" s="32"/>
      <c r="O192" s="32"/>
    </row>
    <row r="193" spans="1:15" x14ac:dyDescent="0.3">
      <c r="A193" s="5"/>
      <c r="B193" s="5"/>
      <c r="C193" s="5"/>
      <c r="D193" s="6"/>
      <c r="E193" s="6"/>
      <c r="F193" s="5"/>
      <c r="G193" s="10"/>
      <c r="H193" s="7"/>
      <c r="I193" s="32"/>
      <c r="J193" s="32"/>
      <c r="K193" s="9"/>
      <c r="L193" s="32"/>
      <c r="M193" s="32"/>
      <c r="N193" s="32"/>
      <c r="O193" s="32"/>
    </row>
    <row r="194" spans="1:15" x14ac:dyDescent="0.3">
      <c r="A194" s="5"/>
      <c r="B194" s="5"/>
      <c r="C194" s="5"/>
      <c r="D194" s="6"/>
      <c r="E194" s="6"/>
      <c r="F194" s="5"/>
      <c r="G194" s="10"/>
      <c r="H194" s="7"/>
      <c r="I194" s="32"/>
      <c r="J194" s="32"/>
      <c r="K194" s="9"/>
      <c r="L194" s="32"/>
      <c r="M194" s="32"/>
      <c r="N194" s="32"/>
      <c r="O194" s="32"/>
    </row>
    <row r="195" spans="1:15" x14ac:dyDescent="0.3">
      <c r="A195" s="5"/>
      <c r="B195" s="5"/>
      <c r="C195" s="5"/>
      <c r="D195" s="6"/>
      <c r="E195" s="6"/>
      <c r="F195" s="5"/>
      <c r="G195" s="10"/>
      <c r="H195" s="7"/>
      <c r="I195" s="32"/>
      <c r="J195" s="32"/>
      <c r="K195" s="9"/>
      <c r="L195" s="32"/>
      <c r="M195" s="32"/>
      <c r="N195" s="32"/>
      <c r="O195" s="32"/>
    </row>
    <row r="196" spans="1:15" x14ac:dyDescent="0.3">
      <c r="A196" s="5"/>
      <c r="B196" s="5"/>
      <c r="C196" s="5"/>
      <c r="D196" s="6"/>
      <c r="E196" s="6"/>
      <c r="F196" s="5"/>
      <c r="G196" s="10"/>
      <c r="H196" s="7"/>
      <c r="I196" s="32"/>
      <c r="J196" s="32"/>
      <c r="K196" s="9"/>
      <c r="L196" s="32"/>
      <c r="M196" s="32"/>
      <c r="N196" s="32"/>
      <c r="O196" s="32"/>
    </row>
    <row r="197" spans="1:15" x14ac:dyDescent="0.3">
      <c r="A197" s="5"/>
      <c r="B197" s="5"/>
      <c r="C197" s="5"/>
      <c r="D197" s="6"/>
      <c r="E197" s="6"/>
      <c r="F197" s="5"/>
      <c r="G197" s="10"/>
      <c r="H197" s="7"/>
      <c r="I197" s="32"/>
      <c r="J197" s="32"/>
      <c r="K197" s="9"/>
      <c r="L197" s="32"/>
      <c r="M197" s="32"/>
      <c r="N197" s="32"/>
      <c r="O197" s="32"/>
    </row>
    <row r="198" spans="1:15" x14ac:dyDescent="0.3">
      <c r="A198" s="5"/>
      <c r="B198" s="5"/>
      <c r="C198" s="5"/>
      <c r="D198" s="6"/>
      <c r="E198" s="6"/>
      <c r="F198" s="5"/>
      <c r="G198" s="10"/>
      <c r="H198" s="7"/>
      <c r="I198" s="32"/>
      <c r="J198" s="32"/>
      <c r="K198" s="9"/>
      <c r="L198" s="32"/>
      <c r="M198" s="32"/>
      <c r="N198" s="32"/>
      <c r="O198" s="32"/>
    </row>
    <row r="199" spans="1:15" x14ac:dyDescent="0.3">
      <c r="A199" s="5"/>
      <c r="B199" s="5"/>
      <c r="C199" s="5"/>
      <c r="D199" s="6"/>
      <c r="E199" s="6"/>
      <c r="F199" s="5"/>
      <c r="G199" s="10"/>
      <c r="H199" s="7"/>
      <c r="I199" s="32"/>
      <c r="J199" s="32"/>
      <c r="K199" s="9"/>
      <c r="L199" s="32"/>
      <c r="M199" s="32"/>
      <c r="N199" s="32"/>
      <c r="O199" s="32"/>
    </row>
    <row r="200" spans="1:15" x14ac:dyDescent="0.3">
      <c r="A200" s="5"/>
      <c r="B200" s="5"/>
      <c r="C200" s="5"/>
      <c r="D200" s="6"/>
      <c r="E200" s="6"/>
      <c r="F200" s="5"/>
      <c r="G200" s="10"/>
      <c r="H200" s="7"/>
      <c r="I200" s="32"/>
      <c r="J200" s="32"/>
      <c r="K200" s="9"/>
      <c r="L200" s="32"/>
      <c r="M200" s="32"/>
      <c r="N200" s="32"/>
      <c r="O200" s="32"/>
    </row>
    <row r="201" spans="1:15" x14ac:dyDescent="0.3">
      <c r="A201" s="5"/>
      <c r="B201" s="5"/>
      <c r="C201" s="5"/>
      <c r="D201" s="6"/>
      <c r="E201" s="6"/>
      <c r="F201" s="5"/>
      <c r="G201" s="10"/>
      <c r="H201" s="7"/>
      <c r="I201" s="32"/>
      <c r="J201" s="32"/>
      <c r="K201" s="9"/>
      <c r="L201" s="32"/>
      <c r="M201" s="32"/>
      <c r="N201" s="32"/>
      <c r="O201" s="32"/>
    </row>
    <row r="202" spans="1:15" x14ac:dyDescent="0.3">
      <c r="A202" s="5"/>
      <c r="B202" s="5"/>
      <c r="C202" s="5"/>
      <c r="D202" s="6"/>
      <c r="E202" s="6"/>
      <c r="F202" s="5"/>
      <c r="G202" s="10"/>
      <c r="H202" s="7"/>
      <c r="I202" s="32"/>
      <c r="J202" s="32"/>
      <c r="K202" s="9"/>
      <c r="L202" s="32"/>
      <c r="M202" s="32"/>
      <c r="N202" s="32"/>
      <c r="O202" s="32"/>
    </row>
    <row r="203" spans="1:15" x14ac:dyDescent="0.3">
      <c r="A203" s="5"/>
      <c r="B203" s="5"/>
      <c r="C203" s="5"/>
      <c r="D203" s="6"/>
      <c r="E203" s="6"/>
      <c r="F203" s="5"/>
      <c r="G203" s="10"/>
      <c r="H203" s="7"/>
      <c r="I203" s="32"/>
      <c r="J203" s="32"/>
      <c r="K203" s="9"/>
      <c r="L203" s="32"/>
      <c r="M203" s="32"/>
      <c r="N203" s="32"/>
      <c r="O203" s="32"/>
    </row>
    <row r="204" spans="1:15" x14ac:dyDescent="0.3">
      <c r="A204" s="5"/>
      <c r="B204" s="5"/>
      <c r="C204" s="5"/>
      <c r="D204" s="6"/>
      <c r="E204" s="6"/>
      <c r="F204" s="5"/>
      <c r="G204" s="10"/>
      <c r="H204" s="7"/>
      <c r="I204" s="32"/>
      <c r="J204" s="32"/>
      <c r="K204" s="9"/>
      <c r="L204" s="32"/>
      <c r="M204" s="32"/>
      <c r="N204" s="32"/>
      <c r="O204" s="32"/>
    </row>
    <row r="205" spans="1:15" x14ac:dyDescent="0.3">
      <c r="A205" s="5"/>
      <c r="B205" s="5"/>
      <c r="C205" s="5"/>
      <c r="D205" s="6"/>
      <c r="E205" s="6"/>
      <c r="F205" s="5"/>
      <c r="G205" s="10"/>
      <c r="H205" s="7"/>
      <c r="I205" s="32"/>
      <c r="J205" s="32"/>
      <c r="K205" s="9"/>
      <c r="L205" s="32"/>
      <c r="M205" s="32"/>
      <c r="N205" s="32"/>
      <c r="O205" s="32"/>
    </row>
    <row r="206" spans="1:15" x14ac:dyDescent="0.3">
      <c r="A206" s="5"/>
      <c r="B206" s="5"/>
      <c r="C206" s="5"/>
      <c r="D206" s="6"/>
      <c r="E206" s="6"/>
      <c r="F206" s="5"/>
      <c r="G206" s="10"/>
      <c r="H206" s="7"/>
      <c r="I206" s="32"/>
      <c r="J206" s="32"/>
      <c r="K206" s="9"/>
      <c r="L206" s="32"/>
      <c r="M206" s="32"/>
      <c r="N206" s="32"/>
      <c r="O206" s="32"/>
    </row>
    <row r="207" spans="1:15" x14ac:dyDescent="0.3">
      <c r="A207" s="5"/>
      <c r="B207" s="5"/>
      <c r="C207" s="5"/>
      <c r="D207" s="6"/>
      <c r="E207" s="6"/>
      <c r="F207" s="5"/>
      <c r="G207" s="10"/>
      <c r="H207" s="7"/>
      <c r="I207" s="32"/>
      <c r="J207" s="32"/>
      <c r="K207" s="9"/>
      <c r="L207" s="32"/>
      <c r="M207" s="32"/>
      <c r="N207" s="32"/>
      <c r="O207" s="32"/>
    </row>
    <row r="208" spans="1:15" x14ac:dyDescent="0.3">
      <c r="A208" s="5"/>
      <c r="B208" s="5"/>
      <c r="C208" s="5"/>
      <c r="D208" s="6"/>
      <c r="E208" s="6"/>
      <c r="F208" s="5"/>
      <c r="G208" s="10"/>
      <c r="H208" s="7"/>
      <c r="I208" s="32"/>
      <c r="J208" s="32"/>
      <c r="K208" s="9"/>
      <c r="L208" s="32"/>
      <c r="M208" s="32"/>
      <c r="N208" s="32"/>
      <c r="O208" s="32"/>
    </row>
    <row r="209" spans="1:15" x14ac:dyDescent="0.3">
      <c r="A209" s="5"/>
      <c r="B209" s="5"/>
      <c r="C209" s="5"/>
      <c r="D209" s="6"/>
      <c r="E209" s="6"/>
      <c r="F209" s="5"/>
      <c r="G209" s="10"/>
      <c r="H209" s="7"/>
      <c r="I209" s="32"/>
      <c r="J209" s="32"/>
      <c r="K209" s="9"/>
      <c r="L209" s="32"/>
      <c r="M209" s="32"/>
      <c r="N209" s="32"/>
      <c r="O209" s="32"/>
    </row>
    <row r="210" spans="1:15" x14ac:dyDescent="0.3">
      <c r="A210" s="5"/>
      <c r="B210" s="5"/>
      <c r="C210" s="5"/>
      <c r="D210" s="6"/>
      <c r="E210" s="6"/>
      <c r="F210" s="5"/>
      <c r="G210" s="10"/>
      <c r="H210" s="7"/>
      <c r="I210" s="32"/>
      <c r="J210" s="32"/>
      <c r="K210" s="9"/>
      <c r="L210" s="32"/>
      <c r="M210" s="32"/>
      <c r="N210" s="32"/>
      <c r="O210" s="32"/>
    </row>
    <row r="211" spans="1:15" x14ac:dyDescent="0.3">
      <c r="A211" s="5"/>
      <c r="B211" s="5"/>
      <c r="C211" s="5"/>
      <c r="D211" s="6"/>
      <c r="E211" s="6"/>
      <c r="F211" s="5"/>
      <c r="G211" s="10"/>
      <c r="H211" s="7"/>
      <c r="I211" s="32"/>
      <c r="J211" s="32"/>
      <c r="K211" s="9"/>
      <c r="L211" s="32"/>
      <c r="M211" s="32"/>
      <c r="N211" s="32"/>
      <c r="O211" s="32"/>
    </row>
    <row r="212" spans="1:15" x14ac:dyDescent="0.3">
      <c r="A212" s="5"/>
      <c r="B212" s="5"/>
      <c r="C212" s="5"/>
      <c r="D212" s="6"/>
      <c r="E212" s="6"/>
      <c r="F212" s="5"/>
      <c r="G212" s="10"/>
      <c r="H212" s="7"/>
      <c r="I212" s="32"/>
      <c r="J212" s="32"/>
      <c r="K212" s="9"/>
      <c r="L212" s="32"/>
      <c r="M212" s="32"/>
      <c r="N212" s="32"/>
      <c r="O212" s="32"/>
    </row>
    <row r="213" spans="1:15" x14ac:dyDescent="0.3">
      <c r="A213" s="5"/>
      <c r="B213" s="5"/>
      <c r="C213" s="5"/>
      <c r="D213" s="6"/>
      <c r="E213" s="6"/>
      <c r="F213" s="5"/>
      <c r="G213" s="10"/>
      <c r="H213" s="7"/>
      <c r="I213" s="32"/>
      <c r="J213" s="32"/>
      <c r="K213" s="9"/>
      <c r="L213" s="32"/>
      <c r="M213" s="32"/>
      <c r="N213" s="32"/>
      <c r="O213" s="32"/>
    </row>
    <row r="214" spans="1:15" x14ac:dyDescent="0.3">
      <c r="A214" s="5"/>
      <c r="B214" s="5"/>
      <c r="C214" s="5"/>
      <c r="D214" s="6"/>
      <c r="E214" s="6"/>
      <c r="F214" s="5"/>
      <c r="G214" s="10"/>
      <c r="H214" s="7"/>
      <c r="I214" s="32"/>
      <c r="J214" s="32"/>
      <c r="K214" s="9"/>
      <c r="L214" s="32"/>
      <c r="M214" s="32"/>
      <c r="N214" s="32"/>
      <c r="O214" s="32"/>
    </row>
    <row r="215" spans="1:15" x14ac:dyDescent="0.3">
      <c r="A215" s="5"/>
      <c r="B215" s="5"/>
      <c r="C215" s="5"/>
      <c r="D215" s="6"/>
      <c r="E215" s="6"/>
      <c r="F215" s="5"/>
      <c r="G215" s="10"/>
      <c r="H215" s="7"/>
      <c r="I215" s="32"/>
      <c r="J215" s="32"/>
      <c r="K215" s="9"/>
      <c r="L215" s="32"/>
      <c r="M215" s="32"/>
      <c r="N215" s="32"/>
      <c r="O215" s="32"/>
    </row>
    <row r="216" spans="1:15" x14ac:dyDescent="0.3">
      <c r="A216" s="5"/>
      <c r="B216" s="5"/>
      <c r="C216" s="5"/>
      <c r="D216" s="6"/>
      <c r="E216" s="6"/>
      <c r="F216" s="5"/>
      <c r="G216" s="10"/>
      <c r="H216" s="7"/>
      <c r="I216" s="32"/>
      <c r="J216" s="32"/>
      <c r="K216" s="9"/>
      <c r="L216" s="32"/>
      <c r="M216" s="32"/>
      <c r="N216" s="32"/>
      <c r="O216" s="32"/>
    </row>
    <row r="217" spans="1:15" x14ac:dyDescent="0.3">
      <c r="A217" s="5"/>
      <c r="B217" s="5"/>
      <c r="C217" s="5"/>
      <c r="D217" s="6"/>
      <c r="E217" s="6"/>
      <c r="F217" s="5"/>
      <c r="G217" s="10"/>
      <c r="H217" s="7"/>
      <c r="I217" s="32"/>
      <c r="J217" s="32"/>
      <c r="K217" s="9"/>
      <c r="L217" s="32"/>
      <c r="M217" s="32"/>
      <c r="N217" s="32"/>
      <c r="O217" s="32"/>
    </row>
    <row r="218" spans="1:15" x14ac:dyDescent="0.3">
      <c r="A218" s="5"/>
      <c r="B218" s="5"/>
      <c r="C218" s="5"/>
      <c r="D218" s="6"/>
      <c r="E218" s="6"/>
      <c r="F218" s="5"/>
      <c r="G218" s="10"/>
      <c r="H218" s="7"/>
      <c r="I218" s="32"/>
      <c r="J218" s="32"/>
      <c r="K218" s="9"/>
      <c r="L218" s="32"/>
      <c r="M218" s="32"/>
      <c r="N218" s="32"/>
      <c r="O218" s="32"/>
    </row>
    <row r="219" spans="1:15" x14ac:dyDescent="0.3">
      <c r="A219" s="5"/>
      <c r="B219" s="5"/>
      <c r="C219" s="5"/>
      <c r="D219" s="6"/>
      <c r="E219" s="6"/>
      <c r="F219" s="5"/>
      <c r="G219" s="10"/>
      <c r="H219" s="7"/>
      <c r="I219" s="32"/>
      <c r="J219" s="32"/>
      <c r="K219" s="9"/>
      <c r="L219" s="32"/>
      <c r="M219" s="32"/>
      <c r="N219" s="32"/>
      <c r="O219" s="32"/>
    </row>
    <row r="220" spans="1:15" x14ac:dyDescent="0.3">
      <c r="A220" s="5"/>
      <c r="B220" s="5"/>
      <c r="C220" s="5"/>
      <c r="D220" s="6"/>
      <c r="E220" s="6"/>
      <c r="F220" s="5"/>
      <c r="G220" s="10"/>
      <c r="H220" s="7"/>
      <c r="I220" s="32"/>
      <c r="J220" s="32"/>
      <c r="K220" s="9"/>
      <c r="L220" s="32"/>
      <c r="M220" s="32"/>
      <c r="N220" s="32"/>
      <c r="O220" s="32"/>
    </row>
    <row r="221" spans="1:15" x14ac:dyDescent="0.3">
      <c r="A221" s="5"/>
      <c r="B221" s="5"/>
      <c r="C221" s="5"/>
      <c r="D221" s="6"/>
      <c r="E221" s="6"/>
      <c r="F221" s="5"/>
      <c r="G221" s="10"/>
      <c r="H221" s="7"/>
      <c r="I221" s="32"/>
      <c r="J221" s="32"/>
      <c r="K221" s="9"/>
      <c r="L221" s="32"/>
      <c r="M221" s="32"/>
      <c r="N221" s="32"/>
      <c r="O221" s="32"/>
    </row>
    <row r="222" spans="1:15" x14ac:dyDescent="0.3">
      <c r="A222" s="5"/>
      <c r="B222" s="5"/>
      <c r="C222" s="5"/>
      <c r="D222" s="6"/>
      <c r="E222" s="6"/>
      <c r="F222" s="5"/>
      <c r="G222" s="10"/>
      <c r="H222" s="7"/>
      <c r="I222" s="32"/>
      <c r="J222" s="32"/>
      <c r="K222" s="9"/>
      <c r="L222" s="32"/>
      <c r="M222" s="32"/>
      <c r="N222" s="32"/>
      <c r="O222" s="32"/>
    </row>
    <row r="223" spans="1:15" x14ac:dyDescent="0.3">
      <c r="A223" s="5"/>
      <c r="B223" s="5"/>
      <c r="C223" s="5"/>
      <c r="D223" s="6"/>
      <c r="E223" s="6"/>
      <c r="F223" s="5"/>
      <c r="G223" s="10"/>
      <c r="H223" s="7"/>
      <c r="I223" s="32"/>
      <c r="J223" s="32"/>
      <c r="K223" s="9"/>
      <c r="L223" s="32"/>
      <c r="M223" s="32"/>
      <c r="N223" s="32"/>
      <c r="O223" s="32"/>
    </row>
    <row r="224" spans="1:15" x14ac:dyDescent="0.3">
      <c r="A224" s="5"/>
      <c r="B224" s="5"/>
      <c r="C224" s="5"/>
      <c r="D224" s="6"/>
      <c r="E224" s="6"/>
      <c r="F224" s="5"/>
      <c r="G224" s="10"/>
      <c r="H224" s="7"/>
      <c r="I224" s="32"/>
      <c r="J224" s="32"/>
      <c r="K224" s="9"/>
      <c r="L224" s="32"/>
      <c r="M224" s="32"/>
      <c r="N224" s="32"/>
      <c r="O224" s="32"/>
    </row>
    <row r="225" spans="1:15" x14ac:dyDescent="0.3">
      <c r="A225" s="5"/>
      <c r="B225" s="5"/>
      <c r="C225" s="5"/>
      <c r="D225" s="6"/>
      <c r="E225" s="6"/>
      <c r="F225" s="5"/>
      <c r="G225" s="10"/>
      <c r="H225" s="7"/>
      <c r="I225" s="32"/>
      <c r="J225" s="32"/>
      <c r="K225" s="9"/>
      <c r="L225" s="32"/>
      <c r="M225" s="32"/>
      <c r="N225" s="32"/>
      <c r="O225" s="32"/>
    </row>
    <row r="226" spans="1:15" x14ac:dyDescent="0.3">
      <c r="A226" s="5"/>
      <c r="B226" s="5"/>
      <c r="C226" s="5"/>
      <c r="D226" s="6"/>
      <c r="E226" s="6"/>
      <c r="F226" s="5"/>
      <c r="G226" s="10"/>
      <c r="H226" s="7"/>
      <c r="I226" s="32"/>
      <c r="J226" s="32"/>
      <c r="K226" s="9"/>
      <c r="L226" s="32"/>
      <c r="M226" s="32"/>
      <c r="N226" s="32"/>
      <c r="O226" s="32"/>
    </row>
    <row r="227" spans="1:15" x14ac:dyDescent="0.3">
      <c r="A227" s="5"/>
      <c r="B227" s="5"/>
      <c r="C227" s="5"/>
      <c r="D227" s="6"/>
      <c r="E227" s="6"/>
      <c r="F227" s="5"/>
      <c r="G227" s="10"/>
      <c r="H227" s="7"/>
      <c r="I227" s="32"/>
      <c r="J227" s="32"/>
      <c r="K227" s="9"/>
      <c r="L227" s="32"/>
      <c r="M227" s="32"/>
      <c r="N227" s="32"/>
      <c r="O227" s="32"/>
    </row>
    <row r="228" spans="1:15" x14ac:dyDescent="0.3">
      <c r="A228" s="5"/>
      <c r="B228" s="5"/>
      <c r="C228" s="5"/>
      <c r="D228" s="6"/>
      <c r="E228" s="6"/>
      <c r="F228" s="5"/>
      <c r="G228" s="10"/>
      <c r="H228" s="7"/>
      <c r="I228" s="32"/>
      <c r="J228" s="32"/>
      <c r="K228" s="9"/>
      <c r="L228" s="32"/>
      <c r="M228" s="32"/>
      <c r="N228" s="32"/>
      <c r="O228" s="32"/>
    </row>
    <row r="229" spans="1:15" x14ac:dyDescent="0.3">
      <c r="A229" s="5"/>
      <c r="B229" s="5"/>
      <c r="C229" s="5"/>
      <c r="D229" s="6"/>
      <c r="E229" s="6"/>
      <c r="F229" s="5"/>
      <c r="G229" s="10"/>
      <c r="H229" s="7"/>
      <c r="I229" s="32"/>
      <c r="J229" s="32"/>
      <c r="K229" s="9"/>
      <c r="L229" s="32"/>
      <c r="M229" s="32"/>
      <c r="N229" s="32"/>
      <c r="O229" s="32"/>
    </row>
    <row r="230" spans="1:15" x14ac:dyDescent="0.3">
      <c r="A230" s="5"/>
      <c r="B230" s="5"/>
      <c r="C230" s="5"/>
      <c r="D230" s="6"/>
      <c r="E230" s="6"/>
      <c r="F230" s="5"/>
      <c r="G230" s="10"/>
      <c r="H230" s="7"/>
      <c r="I230" s="32"/>
      <c r="J230" s="32"/>
      <c r="K230" s="9"/>
      <c r="L230" s="32"/>
      <c r="M230" s="32"/>
      <c r="N230" s="32"/>
      <c r="O230" s="32"/>
    </row>
    <row r="231" spans="1:15" x14ac:dyDescent="0.3">
      <c r="A231" s="5"/>
      <c r="B231" s="5"/>
      <c r="C231" s="5"/>
      <c r="D231" s="6"/>
      <c r="E231" s="6"/>
      <c r="F231" s="5"/>
      <c r="G231" s="10"/>
      <c r="H231" s="7"/>
      <c r="I231" s="32"/>
      <c r="J231" s="32"/>
      <c r="K231" s="9"/>
      <c r="L231" s="32"/>
      <c r="M231" s="32"/>
      <c r="N231" s="32"/>
      <c r="O231" s="32"/>
    </row>
    <row r="232" spans="1:15" x14ac:dyDescent="0.3">
      <c r="A232" s="5"/>
      <c r="B232" s="5"/>
      <c r="C232" s="5"/>
      <c r="D232" s="6"/>
      <c r="E232" s="6"/>
      <c r="F232" s="5"/>
      <c r="G232" s="10"/>
      <c r="H232" s="7"/>
      <c r="I232" s="32"/>
      <c r="J232" s="32"/>
      <c r="K232" s="9"/>
      <c r="L232" s="32"/>
      <c r="M232" s="32"/>
      <c r="N232" s="32"/>
      <c r="O232" s="32"/>
    </row>
    <row r="233" spans="1:15" x14ac:dyDescent="0.3">
      <c r="A233" s="5"/>
      <c r="B233" s="5"/>
      <c r="C233" s="5"/>
      <c r="D233" s="6"/>
      <c r="E233" s="6"/>
      <c r="F233" s="5"/>
      <c r="G233" s="10"/>
      <c r="H233" s="7"/>
      <c r="I233" s="32"/>
      <c r="J233" s="32"/>
      <c r="K233" s="9"/>
      <c r="L233" s="32"/>
      <c r="M233" s="32"/>
      <c r="N233" s="32"/>
      <c r="O233" s="32"/>
    </row>
    <row r="234" spans="1:15" x14ac:dyDescent="0.3">
      <c r="A234" s="5"/>
      <c r="B234" s="5"/>
      <c r="C234" s="5"/>
      <c r="D234" s="6"/>
      <c r="E234" s="6"/>
      <c r="F234" s="5"/>
      <c r="G234" s="10"/>
      <c r="H234" s="7"/>
      <c r="I234" s="32"/>
      <c r="J234" s="32"/>
      <c r="K234" s="9"/>
      <c r="L234" s="32"/>
      <c r="M234" s="32"/>
      <c r="N234" s="32"/>
      <c r="O234" s="32"/>
    </row>
    <row r="235" spans="1:15" x14ac:dyDescent="0.3">
      <c r="A235" s="5"/>
      <c r="B235" s="5"/>
      <c r="C235" s="5"/>
      <c r="D235" s="6"/>
      <c r="E235" s="6"/>
      <c r="F235" s="5"/>
      <c r="G235" s="10"/>
      <c r="H235" s="7"/>
      <c r="I235" s="32"/>
      <c r="J235" s="32"/>
      <c r="K235" s="9"/>
      <c r="L235" s="32"/>
      <c r="M235" s="32"/>
      <c r="N235" s="32"/>
      <c r="O235" s="32"/>
    </row>
    <row r="236" spans="1:15" x14ac:dyDescent="0.3">
      <c r="A236" s="5"/>
      <c r="B236" s="5"/>
      <c r="C236" s="5"/>
      <c r="D236" s="6"/>
      <c r="E236" s="6"/>
      <c r="F236" s="5"/>
      <c r="G236" s="10"/>
      <c r="H236" s="7"/>
      <c r="I236" s="32"/>
      <c r="J236" s="32"/>
      <c r="K236" s="9"/>
      <c r="L236" s="32"/>
      <c r="M236" s="32"/>
      <c r="N236" s="32"/>
      <c r="O236" s="32"/>
    </row>
    <row r="237" spans="1:15" x14ac:dyDescent="0.3">
      <c r="A237" s="5"/>
      <c r="B237" s="5"/>
      <c r="C237" s="5"/>
      <c r="D237" s="6"/>
      <c r="E237" s="6"/>
      <c r="F237" s="5"/>
      <c r="G237" s="10"/>
      <c r="H237" s="7"/>
      <c r="I237" s="32"/>
      <c r="J237" s="32"/>
      <c r="K237" s="9"/>
      <c r="L237" s="32"/>
      <c r="M237" s="32"/>
      <c r="N237" s="32"/>
      <c r="O237" s="32"/>
    </row>
    <row r="238" spans="1:15" x14ac:dyDescent="0.3">
      <c r="A238" s="5"/>
      <c r="B238" s="5"/>
      <c r="C238" s="5"/>
      <c r="D238" s="6"/>
      <c r="E238" s="6"/>
      <c r="F238" s="5"/>
      <c r="G238" s="10"/>
      <c r="H238" s="7"/>
      <c r="I238" s="32"/>
      <c r="J238" s="32"/>
      <c r="K238" s="9"/>
      <c r="L238" s="32"/>
      <c r="M238" s="32"/>
      <c r="N238" s="32"/>
      <c r="O238" s="32"/>
    </row>
    <row r="239" spans="1:15" x14ac:dyDescent="0.3">
      <c r="A239" s="5"/>
      <c r="B239" s="5"/>
      <c r="C239" s="5"/>
      <c r="D239" s="6"/>
      <c r="E239" s="6"/>
      <c r="F239" s="5"/>
      <c r="G239" s="10"/>
      <c r="H239" s="7"/>
      <c r="I239" s="32"/>
      <c r="J239" s="32"/>
      <c r="K239" s="9"/>
      <c r="L239" s="32"/>
      <c r="M239" s="32"/>
      <c r="N239" s="32"/>
      <c r="O239" s="32"/>
    </row>
    <row r="240" spans="1:15" x14ac:dyDescent="0.3">
      <c r="A240" s="5"/>
      <c r="B240" s="5"/>
      <c r="C240" s="5"/>
      <c r="D240" s="6"/>
      <c r="E240" s="6"/>
      <c r="F240" s="5"/>
      <c r="G240" s="10"/>
      <c r="H240" s="7"/>
      <c r="I240" s="32"/>
      <c r="J240" s="32"/>
      <c r="K240" s="9"/>
      <c r="L240" s="32"/>
      <c r="M240" s="32"/>
      <c r="N240" s="32"/>
      <c r="O240" s="32"/>
    </row>
    <row r="241" spans="1:15" x14ac:dyDescent="0.3">
      <c r="A241" s="5"/>
      <c r="B241" s="5"/>
      <c r="C241" s="5"/>
      <c r="D241" s="6"/>
      <c r="E241" s="6"/>
      <c r="F241" s="5"/>
      <c r="G241" s="10"/>
      <c r="H241" s="7"/>
      <c r="I241" s="32"/>
      <c r="J241" s="32"/>
      <c r="K241" s="9"/>
      <c r="L241" s="32"/>
      <c r="M241" s="32"/>
      <c r="N241" s="32"/>
      <c r="O241" s="32"/>
    </row>
    <row r="242" spans="1:15" x14ac:dyDescent="0.3">
      <c r="A242" s="5"/>
      <c r="B242" s="5"/>
      <c r="C242" s="5"/>
      <c r="D242" s="6"/>
      <c r="E242" s="6"/>
      <c r="F242" s="5"/>
      <c r="G242" s="10"/>
      <c r="H242" s="7"/>
      <c r="I242" s="32"/>
      <c r="J242" s="32"/>
      <c r="K242" s="9"/>
      <c r="L242" s="32"/>
      <c r="M242" s="32"/>
      <c r="N242" s="32"/>
      <c r="O242" s="32"/>
    </row>
    <row r="243" spans="1:15" x14ac:dyDescent="0.3">
      <c r="A243" s="5"/>
      <c r="B243" s="5"/>
      <c r="C243" s="5"/>
      <c r="D243" s="6"/>
      <c r="E243" s="6"/>
      <c r="F243" s="5"/>
      <c r="G243" s="10"/>
      <c r="H243" s="7"/>
      <c r="I243" s="32"/>
      <c r="J243" s="32"/>
      <c r="K243" s="9"/>
      <c r="L243" s="32"/>
      <c r="M243" s="32"/>
      <c r="N243" s="32"/>
      <c r="O243" s="32"/>
    </row>
    <row r="244" spans="1:15" x14ac:dyDescent="0.3">
      <c r="A244" s="5"/>
      <c r="B244" s="5"/>
      <c r="C244" s="5"/>
      <c r="D244" s="6"/>
      <c r="E244" s="6"/>
      <c r="F244" s="5"/>
      <c r="G244" s="10"/>
      <c r="H244" s="7"/>
      <c r="I244" s="32"/>
      <c r="J244" s="32"/>
      <c r="K244" s="9"/>
      <c r="L244" s="32"/>
      <c r="M244" s="32"/>
      <c r="N244" s="32"/>
      <c r="O244" s="32"/>
    </row>
    <row r="245" spans="1:15" x14ac:dyDescent="0.3">
      <c r="A245" s="5"/>
      <c r="B245" s="5"/>
      <c r="C245" s="5"/>
      <c r="D245" s="6"/>
      <c r="E245" s="6"/>
      <c r="F245" s="5"/>
      <c r="G245" s="10"/>
      <c r="H245" s="7"/>
      <c r="I245" s="32"/>
      <c r="J245" s="32"/>
      <c r="K245" s="9"/>
      <c r="L245" s="32"/>
      <c r="M245" s="32"/>
      <c r="N245" s="32"/>
      <c r="O245" s="32"/>
    </row>
    <row r="246" spans="1:15" x14ac:dyDescent="0.3">
      <c r="A246" s="5"/>
      <c r="B246" s="5"/>
      <c r="C246" s="5"/>
      <c r="D246" s="6"/>
      <c r="E246" s="6"/>
      <c r="F246" s="5"/>
      <c r="G246" s="10"/>
      <c r="H246" s="7"/>
      <c r="I246" s="32"/>
      <c r="J246" s="32"/>
      <c r="K246" s="9"/>
      <c r="L246" s="32"/>
      <c r="M246" s="32"/>
      <c r="N246" s="32"/>
      <c r="O246" s="32"/>
    </row>
    <row r="247" spans="1:15" x14ac:dyDescent="0.3">
      <c r="A247" s="5"/>
      <c r="B247" s="5"/>
      <c r="C247" s="5"/>
      <c r="D247" s="6"/>
      <c r="E247" s="6"/>
      <c r="F247" s="5"/>
      <c r="G247" s="10"/>
      <c r="H247" s="7"/>
      <c r="I247" s="32"/>
      <c r="J247" s="32"/>
      <c r="K247" s="9"/>
      <c r="L247" s="32"/>
      <c r="M247" s="32"/>
      <c r="N247" s="32"/>
      <c r="O247" s="32"/>
    </row>
    <row r="248" spans="1:15" x14ac:dyDescent="0.3">
      <c r="A248" s="5"/>
      <c r="B248" s="5"/>
      <c r="C248" s="5"/>
      <c r="D248" s="6"/>
      <c r="E248" s="6"/>
      <c r="F248" s="5"/>
      <c r="G248" s="10"/>
      <c r="H248" s="7"/>
      <c r="I248" s="32"/>
      <c r="J248" s="32"/>
      <c r="K248" s="9"/>
      <c r="L248" s="32"/>
      <c r="M248" s="32"/>
      <c r="N248" s="32"/>
      <c r="O248" s="32"/>
    </row>
    <row r="249" spans="1:15" x14ac:dyDescent="0.3">
      <c r="A249" s="5"/>
      <c r="B249" s="5"/>
      <c r="C249" s="5"/>
      <c r="D249" s="6"/>
      <c r="E249" s="6"/>
      <c r="F249" s="5"/>
      <c r="G249" s="10"/>
      <c r="H249" s="7"/>
      <c r="I249" s="32"/>
      <c r="J249" s="32"/>
      <c r="K249" s="9"/>
      <c r="L249" s="32"/>
      <c r="M249" s="32"/>
      <c r="N249" s="32"/>
      <c r="O249" s="32"/>
    </row>
    <row r="250" spans="1:15" x14ac:dyDescent="0.3">
      <c r="A250" s="5"/>
      <c r="B250" s="5"/>
      <c r="C250" s="5"/>
      <c r="D250" s="6"/>
      <c r="E250" s="6"/>
      <c r="F250" s="5"/>
      <c r="G250" s="10"/>
      <c r="H250" s="7"/>
      <c r="I250" s="32"/>
      <c r="J250" s="32"/>
      <c r="K250" s="9"/>
      <c r="L250" s="32"/>
      <c r="M250" s="32"/>
      <c r="N250" s="32"/>
      <c r="O250" s="32"/>
    </row>
    <row r="251" spans="1:15" x14ac:dyDescent="0.3">
      <c r="A251" s="5"/>
      <c r="B251" s="5"/>
      <c r="C251" s="5"/>
      <c r="D251" s="6"/>
      <c r="E251" s="6"/>
      <c r="F251" s="5"/>
      <c r="G251" s="10"/>
      <c r="H251" s="7"/>
      <c r="I251" s="32"/>
      <c r="J251" s="32"/>
      <c r="K251" s="9"/>
      <c r="L251" s="32"/>
      <c r="M251" s="32"/>
      <c r="N251" s="32"/>
      <c r="O251" s="32"/>
    </row>
    <row r="252" spans="1:15" x14ac:dyDescent="0.3">
      <c r="A252" s="5"/>
      <c r="B252" s="5"/>
      <c r="C252" s="5"/>
      <c r="D252" s="6"/>
      <c r="E252" s="6"/>
      <c r="F252" s="5"/>
      <c r="G252" s="10"/>
      <c r="H252" s="7"/>
      <c r="I252" s="32"/>
      <c r="J252" s="32"/>
      <c r="K252" s="9"/>
      <c r="L252" s="32"/>
      <c r="M252" s="32"/>
      <c r="N252" s="32"/>
      <c r="O252" s="32"/>
    </row>
    <row r="253" spans="1:15" x14ac:dyDescent="0.3">
      <c r="A253" s="5"/>
      <c r="B253" s="5"/>
      <c r="C253" s="5"/>
      <c r="D253" s="6"/>
      <c r="E253" s="6"/>
      <c r="F253" s="5"/>
      <c r="G253" s="10"/>
      <c r="H253" s="7"/>
      <c r="I253" s="32"/>
      <c r="J253" s="32"/>
      <c r="K253" s="9"/>
      <c r="L253" s="32"/>
      <c r="M253" s="32"/>
      <c r="N253" s="32"/>
      <c r="O253" s="32"/>
    </row>
    <row r="254" spans="1:15" x14ac:dyDescent="0.3">
      <c r="A254" s="5"/>
      <c r="B254" s="5"/>
      <c r="C254" s="5"/>
      <c r="D254" s="6"/>
      <c r="E254" s="6"/>
      <c r="F254" s="5"/>
      <c r="G254" s="10"/>
      <c r="H254" s="7"/>
      <c r="I254" s="32"/>
      <c r="J254" s="32"/>
      <c r="K254" s="9"/>
      <c r="L254" s="32"/>
      <c r="M254" s="32"/>
      <c r="N254" s="32"/>
      <c r="O254" s="32"/>
    </row>
    <row r="255" spans="1:15" x14ac:dyDescent="0.3">
      <c r="A255" s="5"/>
      <c r="B255" s="5"/>
      <c r="C255" s="5"/>
      <c r="D255" s="6"/>
      <c r="E255" s="6"/>
      <c r="F255" s="5"/>
      <c r="G255" s="10"/>
      <c r="H255" s="7"/>
      <c r="I255" s="32"/>
      <c r="J255" s="32"/>
      <c r="K255" s="9"/>
      <c r="L255" s="32"/>
      <c r="M255" s="32"/>
      <c r="N255" s="32"/>
      <c r="O255" s="32"/>
    </row>
    <row r="256" spans="1:15" x14ac:dyDescent="0.3">
      <c r="A256" s="5"/>
      <c r="B256" s="5"/>
      <c r="C256" s="5"/>
      <c r="D256" s="6"/>
      <c r="E256" s="6"/>
      <c r="F256" s="5"/>
      <c r="G256" s="10"/>
      <c r="H256" s="7"/>
      <c r="I256" s="32"/>
      <c r="J256" s="32"/>
      <c r="K256" s="9"/>
      <c r="L256" s="32"/>
      <c r="M256" s="32"/>
      <c r="N256" s="32"/>
      <c r="O256" s="32"/>
    </row>
    <row r="257" spans="1:15" x14ac:dyDescent="0.3">
      <c r="A257" s="5"/>
      <c r="B257" s="5"/>
      <c r="C257" s="5"/>
      <c r="D257" s="6"/>
      <c r="E257" s="6"/>
      <c r="F257" s="5"/>
      <c r="G257" s="10"/>
      <c r="H257" s="7"/>
      <c r="I257" s="32"/>
      <c r="J257" s="32"/>
      <c r="K257" s="9"/>
      <c r="L257" s="32"/>
      <c r="M257" s="32"/>
      <c r="N257" s="32"/>
      <c r="O257" s="32"/>
    </row>
    <row r="258" spans="1:15" x14ac:dyDescent="0.3">
      <c r="A258" s="5"/>
      <c r="B258" s="5"/>
      <c r="C258" s="5"/>
      <c r="D258" s="6"/>
      <c r="E258" s="6"/>
      <c r="F258" s="5"/>
      <c r="G258" s="10"/>
      <c r="H258" s="7"/>
      <c r="I258" s="32"/>
      <c r="J258" s="32"/>
      <c r="K258" s="9"/>
      <c r="L258" s="32"/>
      <c r="M258" s="32"/>
      <c r="N258" s="32"/>
      <c r="O258" s="32"/>
    </row>
    <row r="259" spans="1:15" x14ac:dyDescent="0.3">
      <c r="A259" s="5"/>
      <c r="B259" s="5"/>
      <c r="C259" s="5"/>
      <c r="D259" s="6"/>
      <c r="E259" s="6"/>
      <c r="F259" s="5"/>
      <c r="G259" s="10"/>
      <c r="H259" s="7"/>
      <c r="I259" s="32"/>
      <c r="J259" s="32"/>
      <c r="K259" s="9"/>
      <c r="L259" s="32"/>
      <c r="M259" s="32"/>
      <c r="N259" s="32"/>
      <c r="O259" s="32"/>
    </row>
    <row r="260" spans="1:15" x14ac:dyDescent="0.3">
      <c r="A260" s="5"/>
      <c r="B260" s="5"/>
      <c r="C260" s="5"/>
      <c r="D260" s="6"/>
      <c r="E260" s="6"/>
      <c r="F260" s="5"/>
      <c r="G260" s="10"/>
      <c r="H260" s="7"/>
      <c r="I260" s="32"/>
      <c r="J260" s="32"/>
      <c r="K260" s="9"/>
      <c r="L260" s="32"/>
      <c r="M260" s="32"/>
      <c r="N260" s="32"/>
      <c r="O260" s="32"/>
    </row>
    <row r="261" spans="1:15" x14ac:dyDescent="0.3">
      <c r="A261" s="5"/>
      <c r="B261" s="5"/>
      <c r="C261" s="5"/>
      <c r="D261" s="6"/>
      <c r="E261" s="6"/>
      <c r="F261" s="5"/>
      <c r="G261" s="10"/>
      <c r="H261" s="7"/>
      <c r="I261" s="32"/>
      <c r="J261" s="32"/>
      <c r="K261" s="9"/>
      <c r="L261" s="32"/>
      <c r="M261" s="32"/>
      <c r="N261" s="32"/>
      <c r="O261" s="32"/>
    </row>
    <row r="262" spans="1:15" x14ac:dyDescent="0.3">
      <c r="A262" s="5"/>
      <c r="B262" s="5"/>
      <c r="C262" s="5"/>
      <c r="D262" s="6"/>
      <c r="E262" s="6"/>
      <c r="F262" s="5"/>
      <c r="G262" s="10"/>
      <c r="H262" s="7"/>
      <c r="I262" s="32"/>
      <c r="J262" s="32"/>
      <c r="K262" s="9"/>
      <c r="L262" s="32"/>
      <c r="M262" s="32"/>
      <c r="N262" s="32"/>
      <c r="O262" s="32"/>
    </row>
    <row r="263" spans="1:15" x14ac:dyDescent="0.3">
      <c r="A263" s="5"/>
      <c r="B263" s="5"/>
      <c r="C263" s="5"/>
      <c r="D263" s="6"/>
      <c r="E263" s="6"/>
      <c r="F263" s="5"/>
      <c r="G263" s="10"/>
      <c r="H263" s="7"/>
      <c r="I263" s="32"/>
      <c r="J263" s="32"/>
      <c r="K263" s="9"/>
      <c r="L263" s="32"/>
      <c r="M263" s="32"/>
      <c r="N263" s="32"/>
      <c r="O263" s="32"/>
    </row>
    <row r="264" spans="1:15" x14ac:dyDescent="0.3">
      <c r="A264" s="5"/>
      <c r="B264" s="5"/>
      <c r="C264" s="5"/>
      <c r="D264" s="6"/>
      <c r="E264" s="6"/>
      <c r="F264" s="5"/>
      <c r="G264" s="10"/>
      <c r="H264" s="7"/>
      <c r="I264" s="32"/>
      <c r="J264" s="32"/>
      <c r="K264" s="9"/>
      <c r="L264" s="32"/>
      <c r="M264" s="32"/>
      <c r="N264" s="32"/>
      <c r="O264" s="32"/>
    </row>
    <row r="265" spans="1:15" x14ac:dyDescent="0.3">
      <c r="A265" s="5"/>
      <c r="B265" s="5"/>
      <c r="C265" s="5"/>
      <c r="D265" s="6"/>
      <c r="E265" s="6"/>
      <c r="F265" s="5"/>
      <c r="G265" s="10"/>
      <c r="H265" s="7"/>
      <c r="I265" s="32"/>
      <c r="J265" s="32"/>
      <c r="K265" s="9"/>
      <c r="L265" s="32"/>
      <c r="M265" s="32"/>
      <c r="N265" s="32"/>
      <c r="O265" s="32"/>
    </row>
    <row r="266" spans="1:15" x14ac:dyDescent="0.3">
      <c r="A266" s="5"/>
      <c r="B266" s="5"/>
      <c r="C266" s="5"/>
      <c r="D266" s="6"/>
      <c r="E266" s="6"/>
      <c r="F266" s="5"/>
      <c r="G266" s="10"/>
      <c r="H266" s="7"/>
      <c r="I266" s="32"/>
      <c r="J266" s="32"/>
      <c r="K266" s="9"/>
      <c r="L266" s="32"/>
      <c r="M266" s="32"/>
      <c r="N266" s="32"/>
      <c r="O266" s="32"/>
    </row>
    <row r="267" spans="1:15" x14ac:dyDescent="0.3">
      <c r="A267" s="5"/>
      <c r="B267" s="5"/>
      <c r="C267" s="5"/>
      <c r="D267" s="6"/>
      <c r="E267" s="6"/>
      <c r="F267" s="5"/>
      <c r="G267" s="10"/>
      <c r="H267" s="7"/>
      <c r="I267" s="32"/>
      <c r="J267" s="32"/>
      <c r="K267" s="9"/>
      <c r="L267" s="32"/>
      <c r="M267" s="32"/>
      <c r="N267" s="32"/>
      <c r="O267" s="32"/>
    </row>
    <row r="268" spans="1:15" x14ac:dyDescent="0.3">
      <c r="A268" s="5"/>
      <c r="B268" s="5"/>
      <c r="C268" s="5"/>
      <c r="D268" s="6"/>
      <c r="E268" s="6"/>
      <c r="F268" s="5"/>
      <c r="G268" s="10"/>
      <c r="H268" s="7"/>
      <c r="I268" s="32"/>
      <c r="J268" s="32"/>
      <c r="K268" s="9"/>
      <c r="L268" s="32"/>
      <c r="M268" s="32"/>
      <c r="N268" s="32"/>
      <c r="O268" s="32"/>
    </row>
    <row r="269" spans="1:15" x14ac:dyDescent="0.3">
      <c r="A269" s="5"/>
      <c r="B269" s="5"/>
      <c r="C269" s="5"/>
      <c r="D269" s="6"/>
      <c r="E269" s="6"/>
      <c r="F269" s="5"/>
      <c r="G269" s="10"/>
      <c r="H269" s="7"/>
      <c r="I269" s="32"/>
      <c r="J269" s="32"/>
      <c r="K269" s="9"/>
      <c r="L269" s="32"/>
      <c r="M269" s="32"/>
      <c r="N269" s="32"/>
      <c r="O269" s="32"/>
    </row>
    <row r="270" spans="1:15" x14ac:dyDescent="0.3">
      <c r="A270" s="5"/>
      <c r="B270" s="5"/>
      <c r="C270" s="5"/>
      <c r="D270" s="6"/>
      <c r="E270" s="6"/>
      <c r="F270" s="5"/>
      <c r="G270" s="10"/>
      <c r="H270" s="7"/>
      <c r="I270" s="32"/>
      <c r="J270" s="32"/>
      <c r="K270" s="9"/>
      <c r="L270" s="32"/>
      <c r="M270" s="32"/>
      <c r="N270" s="32"/>
      <c r="O270" s="32"/>
    </row>
    <row r="271" spans="1:15" x14ac:dyDescent="0.3">
      <c r="A271" s="5"/>
      <c r="B271" s="5"/>
      <c r="C271" s="5"/>
      <c r="D271" s="6"/>
      <c r="E271" s="6"/>
      <c r="F271" s="5"/>
      <c r="G271" s="10"/>
      <c r="H271" s="7"/>
      <c r="I271" s="32"/>
      <c r="J271" s="32"/>
      <c r="K271" s="9"/>
      <c r="L271" s="32"/>
      <c r="M271" s="32"/>
      <c r="N271" s="32"/>
      <c r="O271" s="32"/>
    </row>
    <row r="272" spans="1:15" x14ac:dyDescent="0.3">
      <c r="A272" s="5"/>
      <c r="B272" s="5"/>
      <c r="C272" s="5"/>
      <c r="D272" s="6"/>
      <c r="E272" s="6"/>
      <c r="F272" s="5"/>
      <c r="G272" s="10"/>
      <c r="H272" s="7"/>
      <c r="I272" s="32"/>
      <c r="J272" s="32"/>
      <c r="K272" s="9"/>
      <c r="L272" s="32"/>
      <c r="M272" s="32"/>
      <c r="N272" s="32"/>
      <c r="O272" s="32"/>
    </row>
    <row r="273" spans="1:15" x14ac:dyDescent="0.3">
      <c r="A273" s="5"/>
      <c r="B273" s="5"/>
      <c r="C273" s="5"/>
      <c r="D273" s="6"/>
      <c r="E273" s="6"/>
      <c r="F273" s="5"/>
      <c r="G273" s="10"/>
      <c r="H273" s="7"/>
      <c r="I273" s="32"/>
      <c r="J273" s="32"/>
      <c r="K273" s="9"/>
      <c r="L273" s="32"/>
      <c r="M273" s="32"/>
      <c r="N273" s="32"/>
      <c r="O273" s="32"/>
    </row>
    <row r="274" spans="1:15" x14ac:dyDescent="0.3">
      <c r="A274" s="5"/>
      <c r="B274" s="5"/>
      <c r="C274" s="5"/>
      <c r="D274" s="6"/>
      <c r="E274" s="6"/>
      <c r="F274" s="5"/>
      <c r="G274" s="10"/>
      <c r="H274" s="7"/>
      <c r="I274" s="32"/>
      <c r="J274" s="32"/>
      <c r="K274" s="9"/>
      <c r="L274" s="32"/>
      <c r="M274" s="32"/>
      <c r="N274" s="32"/>
      <c r="O274" s="32"/>
    </row>
    <row r="275" spans="1:15" x14ac:dyDescent="0.3">
      <c r="A275" s="5"/>
      <c r="B275" s="5"/>
      <c r="C275" s="5"/>
      <c r="D275" s="6"/>
      <c r="E275" s="6"/>
      <c r="F275" s="5"/>
      <c r="G275" s="10"/>
      <c r="H275" s="7"/>
      <c r="I275" s="32"/>
      <c r="J275" s="32"/>
      <c r="K275" s="9"/>
      <c r="L275" s="32"/>
      <c r="M275" s="32"/>
      <c r="N275" s="32"/>
      <c r="O275" s="32"/>
    </row>
    <row r="276" spans="1:15" x14ac:dyDescent="0.3">
      <c r="A276" s="5"/>
      <c r="B276" s="5"/>
      <c r="C276" s="5"/>
      <c r="D276" s="6"/>
      <c r="E276" s="6"/>
      <c r="F276" s="5"/>
      <c r="G276" s="10"/>
      <c r="H276" s="7"/>
      <c r="I276" s="32"/>
      <c r="J276" s="32"/>
      <c r="K276" s="9"/>
      <c r="L276" s="32"/>
      <c r="M276" s="32"/>
      <c r="N276" s="32"/>
      <c r="O276" s="32"/>
    </row>
    <row r="277" spans="1:15" x14ac:dyDescent="0.3">
      <c r="A277" s="5"/>
      <c r="B277" s="5"/>
      <c r="C277" s="5"/>
      <c r="D277" s="6"/>
      <c r="E277" s="6"/>
      <c r="F277" s="5"/>
      <c r="G277" s="10"/>
      <c r="H277" s="7"/>
      <c r="I277" s="32"/>
      <c r="J277" s="32"/>
      <c r="K277" s="9"/>
      <c r="L277" s="32"/>
      <c r="M277" s="32"/>
      <c r="N277" s="32"/>
      <c r="O277" s="32"/>
    </row>
    <row r="278" spans="1:15" x14ac:dyDescent="0.3">
      <c r="A278" s="5"/>
      <c r="B278" s="5"/>
      <c r="C278" s="5"/>
      <c r="D278" s="6"/>
      <c r="E278" s="6"/>
      <c r="F278" s="5"/>
      <c r="G278" s="10"/>
      <c r="H278" s="7"/>
      <c r="I278" s="32"/>
      <c r="J278" s="32"/>
      <c r="K278" s="9"/>
      <c r="L278" s="32"/>
      <c r="M278" s="32"/>
      <c r="N278" s="32"/>
      <c r="O278" s="32"/>
    </row>
    <row r="279" spans="1:15" x14ac:dyDescent="0.3">
      <c r="A279" s="5"/>
      <c r="B279" s="5"/>
      <c r="C279" s="5"/>
      <c r="D279" s="6"/>
      <c r="E279" s="6"/>
      <c r="F279" s="5"/>
      <c r="G279" s="10"/>
      <c r="H279" s="7"/>
      <c r="I279" s="32"/>
      <c r="J279" s="32"/>
      <c r="K279" s="9"/>
      <c r="L279" s="32"/>
      <c r="M279" s="32"/>
      <c r="N279" s="32"/>
      <c r="O279" s="32"/>
    </row>
    <row r="280" spans="1:15" x14ac:dyDescent="0.3">
      <c r="A280" s="5"/>
      <c r="B280" s="5"/>
      <c r="C280" s="5"/>
      <c r="D280" s="6"/>
      <c r="E280" s="6"/>
      <c r="F280" s="5"/>
      <c r="G280" s="10"/>
      <c r="H280" s="7"/>
      <c r="I280" s="32"/>
      <c r="J280" s="32"/>
      <c r="K280" s="9"/>
      <c r="L280" s="32"/>
      <c r="M280" s="32"/>
      <c r="N280" s="32"/>
      <c r="O280" s="32"/>
    </row>
    <row r="281" spans="1:15" x14ac:dyDescent="0.3">
      <c r="A281" s="5"/>
      <c r="B281" s="5"/>
      <c r="C281" s="5"/>
      <c r="D281" s="6"/>
      <c r="E281" s="6"/>
      <c r="F281" s="5"/>
      <c r="G281" s="10"/>
      <c r="H281" s="7"/>
      <c r="I281" s="32"/>
      <c r="J281" s="32"/>
      <c r="K281" s="9"/>
      <c r="L281" s="32"/>
      <c r="M281" s="32"/>
      <c r="N281" s="32"/>
      <c r="O281" s="32"/>
    </row>
    <row r="282" spans="1:15" x14ac:dyDescent="0.3">
      <c r="A282" s="5"/>
      <c r="B282" s="5"/>
      <c r="C282" s="5"/>
      <c r="D282" s="6"/>
      <c r="E282" s="6"/>
      <c r="F282" s="5"/>
      <c r="G282" s="10"/>
      <c r="H282" s="7"/>
      <c r="I282" s="32"/>
      <c r="J282" s="32"/>
      <c r="K282" s="9"/>
      <c r="L282" s="32"/>
      <c r="M282" s="32"/>
      <c r="N282" s="32"/>
      <c r="O282" s="32"/>
    </row>
    <row r="283" spans="1:15" x14ac:dyDescent="0.3">
      <c r="A283" s="5"/>
      <c r="B283" s="5"/>
      <c r="C283" s="5"/>
      <c r="D283" s="6"/>
      <c r="E283" s="6"/>
      <c r="F283" s="5"/>
      <c r="G283" s="10"/>
      <c r="H283" s="7"/>
      <c r="I283" s="32"/>
      <c r="J283" s="32"/>
      <c r="K283" s="9"/>
      <c r="L283" s="32"/>
      <c r="M283" s="32"/>
      <c r="N283" s="32"/>
      <c r="O283" s="32"/>
    </row>
    <row r="284" spans="1:15" x14ac:dyDescent="0.3">
      <c r="A284" s="5"/>
      <c r="B284" s="5"/>
      <c r="C284" s="5"/>
      <c r="D284" s="6"/>
      <c r="E284" s="6"/>
      <c r="F284" s="5"/>
      <c r="G284" s="10"/>
      <c r="H284" s="7"/>
      <c r="I284" s="32"/>
      <c r="J284" s="32"/>
      <c r="K284" s="9"/>
      <c r="L284" s="32"/>
      <c r="M284" s="32"/>
      <c r="N284" s="32"/>
      <c r="O284" s="32"/>
    </row>
    <row r="285" spans="1:15" x14ac:dyDescent="0.3">
      <c r="A285" s="5"/>
      <c r="B285" s="5"/>
      <c r="C285" s="5"/>
      <c r="D285" s="6"/>
      <c r="E285" s="6"/>
      <c r="F285" s="5"/>
      <c r="G285" s="10"/>
      <c r="H285" s="7"/>
      <c r="I285" s="32"/>
      <c r="J285" s="32"/>
      <c r="K285" s="9"/>
      <c r="L285" s="32"/>
      <c r="M285" s="32"/>
      <c r="N285" s="32"/>
      <c r="O285" s="32"/>
    </row>
    <row r="286" spans="1:15" x14ac:dyDescent="0.3">
      <c r="A286" s="5"/>
      <c r="B286" s="5"/>
      <c r="C286" s="5"/>
      <c r="D286" s="6"/>
      <c r="E286" s="6"/>
      <c r="F286" s="5"/>
      <c r="G286" s="10"/>
      <c r="H286" s="7"/>
      <c r="I286" s="32"/>
      <c r="J286" s="32"/>
      <c r="K286" s="9"/>
      <c r="L286" s="32"/>
      <c r="M286" s="32"/>
      <c r="N286" s="32"/>
      <c r="O286" s="32"/>
    </row>
    <row r="287" spans="1:15" x14ac:dyDescent="0.3">
      <c r="A287" s="5"/>
      <c r="B287" s="5"/>
      <c r="C287" s="5"/>
      <c r="D287" s="6"/>
      <c r="E287" s="6"/>
      <c r="F287" s="5"/>
      <c r="G287" s="10"/>
      <c r="H287" s="7"/>
      <c r="I287" s="32"/>
      <c r="J287" s="32"/>
      <c r="K287" s="9"/>
      <c r="L287" s="32"/>
      <c r="M287" s="32"/>
      <c r="N287" s="32"/>
      <c r="O287" s="32"/>
    </row>
    <row r="288" spans="1:15" x14ac:dyDescent="0.3">
      <c r="A288" s="5"/>
      <c r="B288" s="5"/>
      <c r="C288" s="5"/>
      <c r="D288" s="6"/>
      <c r="E288" s="6"/>
      <c r="F288" s="5"/>
      <c r="G288" s="10"/>
      <c r="H288" s="7"/>
      <c r="I288" s="32"/>
      <c r="J288" s="32"/>
      <c r="K288" s="9"/>
      <c r="L288" s="32"/>
      <c r="M288" s="32"/>
      <c r="N288" s="32"/>
      <c r="O288" s="32"/>
    </row>
    <row r="289" spans="1:15" x14ac:dyDescent="0.3">
      <c r="A289" s="5"/>
      <c r="B289" s="5"/>
      <c r="C289" s="5"/>
      <c r="D289" s="6"/>
      <c r="E289" s="6"/>
      <c r="F289" s="5"/>
      <c r="G289" s="10"/>
      <c r="H289" s="7"/>
      <c r="I289" s="32"/>
      <c r="J289" s="32"/>
      <c r="K289" s="9"/>
      <c r="L289" s="32"/>
      <c r="M289" s="32"/>
      <c r="N289" s="32"/>
      <c r="O289" s="32"/>
    </row>
    <row r="290" spans="1:15" x14ac:dyDescent="0.3">
      <c r="A290" s="5"/>
      <c r="B290" s="5"/>
      <c r="C290" s="5"/>
      <c r="D290" s="6"/>
      <c r="E290" s="6"/>
      <c r="F290" s="5"/>
      <c r="G290" s="10"/>
      <c r="H290" s="7"/>
      <c r="I290" s="32"/>
      <c r="J290" s="32"/>
      <c r="K290" s="9"/>
      <c r="L290" s="32"/>
      <c r="M290" s="32"/>
      <c r="N290" s="32"/>
      <c r="O290" s="32"/>
    </row>
    <row r="291" spans="1:15" x14ac:dyDescent="0.3">
      <c r="A291" s="5"/>
      <c r="B291" s="5"/>
      <c r="C291" s="5"/>
      <c r="D291" s="6"/>
      <c r="E291" s="6"/>
      <c r="F291" s="5"/>
      <c r="G291" s="10"/>
      <c r="H291" s="7"/>
      <c r="I291" s="32"/>
      <c r="J291" s="32"/>
      <c r="K291" s="9"/>
      <c r="L291" s="32"/>
      <c r="M291" s="32"/>
      <c r="N291" s="32"/>
      <c r="O291" s="32"/>
    </row>
    <row r="292" spans="1:15" x14ac:dyDescent="0.3">
      <c r="A292" s="5"/>
      <c r="B292" s="5"/>
      <c r="C292" s="5"/>
      <c r="D292" s="6"/>
      <c r="E292" s="6"/>
      <c r="F292" s="5"/>
      <c r="G292" s="10"/>
      <c r="H292" s="7"/>
      <c r="I292" s="32"/>
      <c r="J292" s="32"/>
      <c r="K292" s="9"/>
      <c r="L292" s="32"/>
      <c r="M292" s="32"/>
      <c r="N292" s="32"/>
      <c r="O292" s="32"/>
    </row>
    <row r="293" spans="1:15" x14ac:dyDescent="0.3">
      <c r="A293" s="5"/>
      <c r="B293" s="5"/>
      <c r="C293" s="5"/>
      <c r="D293" s="6"/>
      <c r="E293" s="6"/>
      <c r="F293" s="5"/>
      <c r="G293" s="10"/>
      <c r="H293" s="7"/>
      <c r="I293" s="32"/>
      <c r="J293" s="32"/>
      <c r="K293" s="9"/>
      <c r="L293" s="32"/>
      <c r="M293" s="32"/>
      <c r="N293" s="32"/>
      <c r="O293" s="32"/>
    </row>
    <row r="294" spans="1:15" x14ac:dyDescent="0.3">
      <c r="A294" s="5"/>
      <c r="B294" s="5"/>
      <c r="C294" s="5"/>
      <c r="D294" s="6"/>
      <c r="E294" s="6"/>
      <c r="F294" s="5"/>
      <c r="G294" s="10"/>
      <c r="H294" s="7"/>
      <c r="I294" s="32"/>
      <c r="J294" s="32"/>
      <c r="K294" s="9"/>
      <c r="L294" s="32"/>
      <c r="M294" s="32"/>
      <c r="N294" s="32"/>
      <c r="O294" s="32"/>
    </row>
    <row r="295" spans="1:15" x14ac:dyDescent="0.3">
      <c r="A295" s="5"/>
      <c r="B295" s="5"/>
      <c r="C295" s="5"/>
      <c r="D295" s="6"/>
      <c r="E295" s="6"/>
      <c r="F295" s="5"/>
      <c r="G295" s="10"/>
      <c r="H295" s="7"/>
      <c r="I295" s="32"/>
      <c r="J295" s="32"/>
      <c r="K295" s="9"/>
      <c r="L295" s="32"/>
      <c r="M295" s="32"/>
      <c r="N295" s="32"/>
      <c r="O295" s="32"/>
    </row>
    <row r="296" spans="1:15" x14ac:dyDescent="0.3">
      <c r="A296" s="5"/>
      <c r="B296" s="5"/>
      <c r="C296" s="5"/>
      <c r="D296" s="6"/>
      <c r="E296" s="6"/>
      <c r="F296" s="5"/>
      <c r="G296" s="10"/>
      <c r="H296" s="7"/>
      <c r="I296" s="32"/>
      <c r="J296" s="32"/>
      <c r="K296" s="9"/>
      <c r="L296" s="32"/>
      <c r="M296" s="32"/>
      <c r="N296" s="32"/>
      <c r="O296" s="32"/>
    </row>
    <row r="297" spans="1:15" x14ac:dyDescent="0.3">
      <c r="A297" s="5"/>
      <c r="B297" s="5"/>
      <c r="C297" s="5"/>
      <c r="D297" s="6"/>
      <c r="E297" s="6"/>
      <c r="F297" s="5"/>
      <c r="G297" s="10"/>
      <c r="H297" s="7"/>
      <c r="I297" s="32"/>
      <c r="J297" s="32"/>
      <c r="K297" s="9"/>
      <c r="L297" s="32"/>
      <c r="M297" s="32"/>
      <c r="N297" s="32"/>
      <c r="O297" s="32"/>
    </row>
    <row r="298" spans="1:15" x14ac:dyDescent="0.3">
      <c r="A298" s="5"/>
      <c r="B298" s="5"/>
      <c r="C298" s="5"/>
      <c r="D298" s="6"/>
      <c r="E298" s="6"/>
      <c r="F298" s="5"/>
      <c r="G298" s="10"/>
      <c r="H298" s="7"/>
      <c r="I298" s="32"/>
      <c r="J298" s="32"/>
      <c r="K298" s="9"/>
      <c r="L298" s="32"/>
      <c r="M298" s="32"/>
      <c r="N298" s="32"/>
      <c r="O298" s="32"/>
    </row>
    <row r="299" spans="1:15" x14ac:dyDescent="0.3">
      <c r="A299" s="5"/>
      <c r="B299" s="5"/>
      <c r="C299" s="5"/>
      <c r="D299" s="6"/>
      <c r="E299" s="6"/>
      <c r="F299" s="5"/>
      <c r="G299" s="10"/>
      <c r="H299" s="7"/>
      <c r="I299" s="32"/>
      <c r="J299" s="32"/>
      <c r="K299" s="9"/>
      <c r="L299" s="32"/>
      <c r="M299" s="32"/>
      <c r="N299" s="32"/>
      <c r="O299" s="32"/>
    </row>
    <row r="300" spans="1:15" x14ac:dyDescent="0.3">
      <c r="A300" s="5"/>
      <c r="B300" s="5"/>
      <c r="C300" s="5"/>
      <c r="D300" s="6"/>
      <c r="E300" s="6"/>
      <c r="F300" s="5"/>
      <c r="G300" s="10"/>
      <c r="H300" s="7"/>
      <c r="I300" s="32"/>
      <c r="J300" s="32"/>
      <c r="K300" s="9"/>
      <c r="L300" s="32"/>
      <c r="M300" s="32"/>
      <c r="N300" s="32"/>
      <c r="O300" s="32"/>
    </row>
    <row r="301" spans="1:15" x14ac:dyDescent="0.3">
      <c r="A301" s="5"/>
      <c r="B301" s="5"/>
      <c r="C301" s="5"/>
      <c r="D301" s="6"/>
      <c r="E301" s="6"/>
      <c r="F301" s="5"/>
      <c r="G301" s="10"/>
      <c r="H301" s="7"/>
      <c r="I301" s="32"/>
      <c r="J301" s="32"/>
      <c r="K301" s="9"/>
      <c r="L301" s="32"/>
      <c r="M301" s="32"/>
      <c r="N301" s="32"/>
      <c r="O301" s="32"/>
    </row>
    <row r="302" spans="1:15" x14ac:dyDescent="0.3">
      <c r="A302" s="5"/>
      <c r="B302" s="5"/>
      <c r="C302" s="5"/>
      <c r="D302" s="6"/>
      <c r="E302" s="6"/>
      <c r="F302" s="5"/>
      <c r="G302" s="10"/>
      <c r="H302" s="7"/>
      <c r="I302" s="32"/>
      <c r="J302" s="32"/>
      <c r="K302" s="9"/>
      <c r="L302" s="32"/>
      <c r="M302" s="32"/>
      <c r="N302" s="32"/>
      <c r="O302" s="32"/>
    </row>
    <row r="303" spans="1:15" x14ac:dyDescent="0.3">
      <c r="A303" s="5"/>
      <c r="B303" s="5"/>
      <c r="C303" s="5"/>
      <c r="D303" s="6"/>
      <c r="E303" s="6"/>
      <c r="F303" s="5"/>
      <c r="G303" s="10"/>
      <c r="H303" s="7"/>
      <c r="I303" s="32"/>
      <c r="J303" s="32"/>
      <c r="K303" s="9"/>
      <c r="L303" s="32"/>
      <c r="M303" s="32"/>
      <c r="N303" s="32"/>
      <c r="O303" s="32"/>
    </row>
    <row r="304" spans="1:15" x14ac:dyDescent="0.3">
      <c r="A304" s="5"/>
      <c r="B304" s="5"/>
      <c r="C304" s="5"/>
      <c r="D304" s="6"/>
      <c r="E304" s="6"/>
      <c r="F304" s="5"/>
      <c r="G304" s="10"/>
      <c r="H304" s="7"/>
      <c r="I304" s="32"/>
      <c r="J304" s="32"/>
      <c r="K304" s="9"/>
      <c r="L304" s="32"/>
      <c r="M304" s="32"/>
      <c r="N304" s="32"/>
      <c r="O304" s="32"/>
    </row>
    <row r="305" spans="1:15" x14ac:dyDescent="0.3">
      <c r="A305" s="5"/>
      <c r="B305" s="5"/>
      <c r="C305" s="5"/>
      <c r="D305" s="6"/>
      <c r="E305" s="6"/>
      <c r="F305" s="5"/>
      <c r="G305" s="10"/>
      <c r="H305" s="7"/>
      <c r="I305" s="32"/>
      <c r="J305" s="32"/>
      <c r="K305" s="9"/>
      <c r="L305" s="32"/>
      <c r="M305" s="32"/>
      <c r="N305" s="32"/>
      <c r="O305" s="32"/>
    </row>
    <row r="306" spans="1:15" x14ac:dyDescent="0.3">
      <c r="A306" s="5"/>
      <c r="B306" s="5"/>
      <c r="C306" s="5"/>
      <c r="D306" s="6"/>
      <c r="E306" s="6"/>
      <c r="F306" s="5"/>
      <c r="G306" s="10"/>
      <c r="H306" s="7"/>
      <c r="I306" s="32"/>
      <c r="J306" s="32"/>
      <c r="K306" s="9"/>
      <c r="L306" s="32"/>
      <c r="M306" s="32"/>
      <c r="N306" s="32"/>
      <c r="O306" s="32"/>
    </row>
    <row r="307" spans="1:15" x14ac:dyDescent="0.3">
      <c r="A307" s="5"/>
      <c r="B307" s="5"/>
      <c r="C307" s="5"/>
      <c r="D307" s="6"/>
      <c r="E307" s="6"/>
      <c r="F307" s="5"/>
      <c r="G307" s="10"/>
      <c r="H307" s="7"/>
      <c r="I307" s="32"/>
      <c r="J307" s="32"/>
      <c r="K307" s="9"/>
      <c r="L307" s="32"/>
      <c r="M307" s="32"/>
      <c r="N307" s="32"/>
      <c r="O307" s="32"/>
    </row>
    <row r="308" spans="1:15" x14ac:dyDescent="0.3">
      <c r="A308" s="5"/>
      <c r="B308" s="5"/>
      <c r="C308" s="5"/>
      <c r="D308" s="6"/>
      <c r="E308" s="6"/>
      <c r="F308" s="5"/>
      <c r="G308" s="10"/>
      <c r="H308" s="7"/>
      <c r="I308" s="32"/>
      <c r="J308" s="32"/>
      <c r="K308" s="9"/>
      <c r="L308" s="32"/>
      <c r="M308" s="32"/>
      <c r="N308" s="32"/>
      <c r="O308" s="32"/>
    </row>
    <row r="309" spans="1:15" x14ac:dyDescent="0.3">
      <c r="A309" s="5"/>
      <c r="B309" s="5"/>
      <c r="C309" s="5"/>
      <c r="D309" s="6"/>
      <c r="E309" s="6"/>
      <c r="F309" s="5"/>
      <c r="G309" s="10"/>
      <c r="H309" s="7"/>
      <c r="I309" s="32"/>
      <c r="J309" s="32"/>
      <c r="K309" s="9"/>
      <c r="L309" s="32"/>
      <c r="M309" s="32"/>
      <c r="N309" s="32"/>
      <c r="O309" s="32"/>
    </row>
    <row r="310" spans="1:15" x14ac:dyDescent="0.3">
      <c r="A310" s="5"/>
      <c r="B310" s="5"/>
      <c r="C310" s="5"/>
      <c r="D310" s="6"/>
      <c r="E310" s="6"/>
      <c r="F310" s="5"/>
      <c r="G310" s="10"/>
      <c r="H310" s="7"/>
      <c r="I310" s="32"/>
      <c r="J310" s="32"/>
      <c r="K310" s="9"/>
      <c r="L310" s="32"/>
      <c r="M310" s="32"/>
      <c r="N310" s="32"/>
      <c r="O310" s="32"/>
    </row>
    <row r="311" spans="1:15" x14ac:dyDescent="0.3">
      <c r="A311" s="5"/>
      <c r="B311" s="5"/>
      <c r="C311" s="5"/>
      <c r="D311" s="6"/>
      <c r="E311" s="6"/>
      <c r="F311" s="5"/>
      <c r="G311" s="10"/>
      <c r="H311" s="7"/>
      <c r="I311" s="32"/>
      <c r="J311" s="32"/>
      <c r="K311" s="9"/>
      <c r="L311" s="32"/>
      <c r="M311" s="32"/>
      <c r="N311" s="32"/>
      <c r="O311" s="32"/>
    </row>
    <row r="312" spans="1:15" x14ac:dyDescent="0.3">
      <c r="A312" s="5"/>
      <c r="B312" s="5"/>
      <c r="C312" s="5"/>
      <c r="D312" s="6"/>
      <c r="E312" s="6"/>
      <c r="F312" s="5"/>
      <c r="G312" s="10"/>
      <c r="H312" s="7"/>
      <c r="I312" s="32"/>
      <c r="J312" s="32"/>
      <c r="K312" s="9"/>
      <c r="L312" s="32"/>
      <c r="M312" s="32"/>
      <c r="N312" s="32"/>
      <c r="O312" s="32"/>
    </row>
    <row r="313" spans="1:15" x14ac:dyDescent="0.3">
      <c r="A313" s="5"/>
      <c r="B313" s="5"/>
      <c r="C313" s="5"/>
      <c r="D313" s="6"/>
      <c r="E313" s="6"/>
      <c r="F313" s="5"/>
      <c r="G313" s="10"/>
      <c r="H313" s="7"/>
      <c r="I313" s="32"/>
      <c r="J313" s="32"/>
      <c r="K313" s="9"/>
      <c r="L313" s="32"/>
      <c r="M313" s="32"/>
      <c r="N313" s="32"/>
      <c r="O313" s="32"/>
    </row>
    <row r="314" spans="1:15" x14ac:dyDescent="0.3">
      <c r="A314" s="5"/>
      <c r="B314" s="5"/>
      <c r="C314" s="5"/>
      <c r="D314" s="6"/>
      <c r="E314" s="6"/>
      <c r="F314" s="5"/>
      <c r="G314" s="10"/>
      <c r="H314" s="7"/>
      <c r="I314" s="32"/>
      <c r="J314" s="32"/>
      <c r="K314" s="9"/>
      <c r="L314" s="32"/>
      <c r="M314" s="32"/>
      <c r="N314" s="32"/>
      <c r="O314" s="32"/>
    </row>
    <row r="315" spans="1:15" x14ac:dyDescent="0.3">
      <c r="A315" s="5"/>
      <c r="B315" s="5"/>
      <c r="C315" s="5"/>
      <c r="D315" s="6"/>
      <c r="E315" s="6"/>
      <c r="F315" s="5"/>
      <c r="G315" s="10"/>
      <c r="H315" s="7"/>
      <c r="I315" s="32"/>
      <c r="J315" s="32"/>
      <c r="K315" s="9"/>
      <c r="L315" s="32"/>
      <c r="M315" s="32"/>
      <c r="N315" s="32"/>
      <c r="O315" s="32"/>
    </row>
    <row r="316" spans="1:15" x14ac:dyDescent="0.3">
      <c r="A316" s="5"/>
      <c r="B316" s="5"/>
      <c r="C316" s="5"/>
      <c r="D316" s="6"/>
      <c r="E316" s="6"/>
      <c r="F316" s="5"/>
      <c r="G316" s="10"/>
      <c r="H316" s="7"/>
      <c r="I316" s="32"/>
      <c r="J316" s="32"/>
      <c r="K316" s="9"/>
      <c r="L316" s="32"/>
      <c r="M316" s="32"/>
      <c r="N316" s="32"/>
      <c r="O316" s="32"/>
    </row>
    <row r="317" spans="1:15" x14ac:dyDescent="0.3">
      <c r="A317" s="5"/>
      <c r="B317" s="5"/>
      <c r="C317" s="5"/>
      <c r="D317" s="6"/>
      <c r="E317" s="6"/>
      <c r="F317" s="5"/>
      <c r="G317" s="10"/>
      <c r="H317" s="7"/>
      <c r="I317" s="32"/>
      <c r="J317" s="32"/>
      <c r="K317" s="9"/>
      <c r="L317" s="32"/>
      <c r="M317" s="32"/>
      <c r="N317" s="32"/>
      <c r="O317" s="32"/>
    </row>
    <row r="318" spans="1:15" x14ac:dyDescent="0.3">
      <c r="A318" s="5"/>
      <c r="B318" s="5"/>
      <c r="C318" s="5"/>
      <c r="D318" s="6"/>
      <c r="E318" s="6"/>
      <c r="F318" s="5"/>
      <c r="G318" s="10"/>
      <c r="H318" s="7"/>
      <c r="I318" s="32"/>
      <c r="J318" s="32"/>
      <c r="K318" s="9"/>
      <c r="L318" s="32"/>
      <c r="M318" s="32"/>
      <c r="N318" s="32"/>
      <c r="O318" s="32"/>
    </row>
    <row r="319" spans="1:15" x14ac:dyDescent="0.3">
      <c r="A319" s="5"/>
      <c r="B319" s="5"/>
      <c r="C319" s="5"/>
      <c r="D319" s="6"/>
      <c r="E319" s="6"/>
      <c r="F319" s="5"/>
      <c r="G319" s="10"/>
      <c r="H319" s="7"/>
      <c r="I319" s="32"/>
      <c r="J319" s="32"/>
      <c r="K319" s="9"/>
      <c r="L319" s="32"/>
      <c r="M319" s="32"/>
      <c r="N319" s="32"/>
      <c r="O319" s="32"/>
    </row>
    <row r="320" spans="1:15" x14ac:dyDescent="0.3">
      <c r="A320" s="5"/>
      <c r="B320" s="5"/>
      <c r="C320" s="5"/>
      <c r="D320" s="6"/>
      <c r="E320" s="6"/>
      <c r="F320" s="5"/>
      <c r="G320" s="10"/>
      <c r="H320" s="7"/>
      <c r="I320" s="32"/>
      <c r="J320" s="32"/>
      <c r="K320" s="9"/>
      <c r="L320" s="32"/>
      <c r="M320" s="32"/>
      <c r="N320" s="32"/>
      <c r="O320" s="32"/>
    </row>
    <row r="321" spans="1:15" x14ac:dyDescent="0.3">
      <c r="A321" s="5"/>
      <c r="B321" s="5"/>
      <c r="C321" s="5"/>
      <c r="D321" s="6"/>
      <c r="E321" s="6"/>
      <c r="F321" s="5"/>
      <c r="G321" s="10"/>
      <c r="H321" s="7"/>
      <c r="I321" s="32"/>
      <c r="J321" s="32"/>
      <c r="K321" s="9"/>
      <c r="L321" s="32"/>
      <c r="M321" s="32"/>
      <c r="N321" s="32"/>
      <c r="O321" s="32"/>
    </row>
    <row r="322" spans="1:15" x14ac:dyDescent="0.3">
      <c r="A322" s="5"/>
      <c r="B322" s="5"/>
      <c r="C322" s="5"/>
      <c r="D322" s="6"/>
      <c r="E322" s="6"/>
      <c r="F322" s="5"/>
      <c r="G322" s="10"/>
      <c r="H322" s="7"/>
      <c r="I322" s="32"/>
      <c r="J322" s="32"/>
      <c r="K322" s="9"/>
      <c r="L322" s="32"/>
      <c r="M322" s="32"/>
      <c r="N322" s="32"/>
      <c r="O322" s="32"/>
    </row>
    <row r="323" spans="1:15" x14ac:dyDescent="0.3">
      <c r="A323" s="5"/>
      <c r="B323" s="5"/>
      <c r="C323" s="5"/>
      <c r="D323" s="6"/>
      <c r="E323" s="6"/>
      <c r="F323" s="5"/>
      <c r="G323" s="10"/>
      <c r="H323" s="7"/>
      <c r="I323" s="32"/>
      <c r="J323" s="32"/>
      <c r="K323" s="9"/>
      <c r="L323" s="32"/>
      <c r="M323" s="32"/>
      <c r="N323" s="32"/>
      <c r="O323" s="32"/>
    </row>
    <row r="324" spans="1:15" x14ac:dyDescent="0.3">
      <c r="A324" s="5"/>
      <c r="B324" s="5"/>
      <c r="C324" s="5"/>
      <c r="D324" s="6"/>
      <c r="E324" s="6"/>
      <c r="F324" s="5"/>
      <c r="G324" s="10"/>
      <c r="H324" s="7"/>
      <c r="I324" s="32"/>
      <c r="J324" s="32"/>
      <c r="K324" s="9"/>
      <c r="L324" s="32"/>
      <c r="M324" s="32"/>
      <c r="N324" s="32"/>
      <c r="O324" s="32"/>
    </row>
    <row r="325" spans="1:15" x14ac:dyDescent="0.3">
      <c r="A325" s="5"/>
      <c r="B325" s="5"/>
      <c r="C325" s="5"/>
      <c r="D325" s="6"/>
      <c r="E325" s="6"/>
      <c r="F325" s="5"/>
      <c r="G325" s="10"/>
      <c r="H325" s="7"/>
      <c r="I325" s="32"/>
      <c r="J325" s="32"/>
      <c r="K325" s="9"/>
      <c r="L325" s="32"/>
      <c r="M325" s="32"/>
      <c r="N325" s="32"/>
      <c r="O325" s="32"/>
    </row>
    <row r="326" spans="1:15" x14ac:dyDescent="0.3">
      <c r="A326" s="5"/>
      <c r="B326" s="5"/>
      <c r="C326" s="5"/>
      <c r="D326" s="6"/>
      <c r="E326" s="6"/>
      <c r="F326" s="5"/>
      <c r="G326" s="10"/>
      <c r="H326" s="7"/>
      <c r="I326" s="32"/>
      <c r="J326" s="32"/>
      <c r="K326" s="9"/>
      <c r="L326" s="32"/>
      <c r="M326" s="32"/>
      <c r="N326" s="32"/>
      <c r="O326" s="32"/>
    </row>
    <row r="327" spans="1:15" x14ac:dyDescent="0.3">
      <c r="A327" s="5"/>
      <c r="B327" s="5"/>
      <c r="C327" s="5"/>
      <c r="D327" s="6"/>
      <c r="E327" s="6"/>
      <c r="F327" s="5"/>
      <c r="G327" s="10"/>
      <c r="H327" s="7"/>
      <c r="I327" s="32"/>
      <c r="J327" s="32"/>
      <c r="K327" s="9"/>
      <c r="L327" s="32"/>
      <c r="M327" s="32"/>
      <c r="N327" s="32"/>
      <c r="O327" s="32"/>
    </row>
    <row r="328" spans="1:15" x14ac:dyDescent="0.3">
      <c r="A328" s="5"/>
      <c r="B328" s="5"/>
      <c r="C328" s="5"/>
      <c r="D328" s="6"/>
      <c r="E328" s="6"/>
      <c r="F328" s="5"/>
      <c r="G328" s="10"/>
      <c r="H328" s="7"/>
      <c r="I328" s="32"/>
      <c r="J328" s="32"/>
      <c r="K328" s="9"/>
      <c r="L328" s="32"/>
      <c r="M328" s="32"/>
      <c r="N328" s="32"/>
      <c r="O328" s="32"/>
    </row>
    <row r="329" spans="1:15" x14ac:dyDescent="0.3">
      <c r="A329" s="5"/>
      <c r="B329" s="5"/>
      <c r="C329" s="5"/>
      <c r="D329" s="6"/>
      <c r="E329" s="6"/>
      <c r="F329" s="5"/>
      <c r="G329" s="10"/>
      <c r="H329" s="7"/>
      <c r="I329" s="32"/>
      <c r="J329" s="32"/>
      <c r="K329" s="9"/>
      <c r="L329" s="32"/>
      <c r="M329" s="32"/>
      <c r="N329" s="32"/>
      <c r="O329" s="32"/>
    </row>
    <row r="330" spans="1:15" x14ac:dyDescent="0.3">
      <c r="A330" s="5"/>
      <c r="B330" s="5"/>
      <c r="C330" s="5"/>
      <c r="D330" s="6"/>
      <c r="E330" s="6"/>
      <c r="F330" s="5"/>
      <c r="G330" s="10"/>
      <c r="H330" s="7"/>
      <c r="I330" s="32"/>
      <c r="J330" s="32"/>
      <c r="K330" s="9"/>
      <c r="L330" s="32"/>
      <c r="M330" s="32"/>
      <c r="N330" s="32"/>
      <c r="O330" s="32"/>
    </row>
    <row r="331" spans="1:15" x14ac:dyDescent="0.3">
      <c r="A331" s="5"/>
      <c r="B331" s="5"/>
      <c r="C331" s="5"/>
      <c r="D331" s="6"/>
      <c r="E331" s="6"/>
      <c r="F331" s="5"/>
      <c r="G331" s="10"/>
      <c r="H331" s="7"/>
      <c r="I331" s="32"/>
      <c r="J331" s="32"/>
      <c r="K331" s="9"/>
      <c r="L331" s="32"/>
      <c r="M331" s="32"/>
      <c r="N331" s="32"/>
      <c r="O331" s="32"/>
    </row>
    <row r="332" spans="1:15" x14ac:dyDescent="0.3">
      <c r="A332" s="5"/>
      <c r="B332" s="5"/>
      <c r="C332" s="5"/>
      <c r="D332" s="6"/>
      <c r="E332" s="6"/>
      <c r="F332" s="5"/>
      <c r="G332" s="10"/>
      <c r="H332" s="7"/>
      <c r="I332" s="32"/>
      <c r="J332" s="32"/>
      <c r="K332" s="9"/>
      <c r="L332" s="32"/>
      <c r="M332" s="32"/>
      <c r="N332" s="32"/>
      <c r="O332" s="32"/>
    </row>
    <row r="333" spans="1:15" x14ac:dyDescent="0.3">
      <c r="A333" s="5"/>
      <c r="B333" s="5"/>
      <c r="C333" s="5"/>
      <c r="D333" s="6"/>
      <c r="E333" s="6"/>
      <c r="F333" s="5"/>
      <c r="G333" s="10"/>
      <c r="H333" s="7"/>
      <c r="I333" s="32"/>
      <c r="J333" s="32"/>
      <c r="K333" s="9"/>
      <c r="L333" s="32"/>
      <c r="M333" s="32"/>
      <c r="N333" s="32"/>
      <c r="O333" s="32"/>
    </row>
    <row r="334" spans="1:15" x14ac:dyDescent="0.3">
      <c r="A334" s="5"/>
      <c r="B334" s="5"/>
      <c r="C334" s="5"/>
      <c r="D334" s="6"/>
      <c r="E334" s="6"/>
      <c r="F334" s="5"/>
      <c r="G334" s="10"/>
      <c r="H334" s="7"/>
      <c r="I334" s="32"/>
      <c r="J334" s="32"/>
      <c r="K334" s="9"/>
      <c r="L334" s="32"/>
      <c r="M334" s="32"/>
      <c r="N334" s="32"/>
      <c r="O334" s="32"/>
    </row>
    <row r="335" spans="1:15" x14ac:dyDescent="0.3">
      <c r="A335" s="5"/>
      <c r="B335" s="5"/>
      <c r="C335" s="5"/>
      <c r="D335" s="6"/>
      <c r="E335" s="6"/>
      <c r="F335" s="5"/>
      <c r="G335" s="10"/>
      <c r="H335" s="7"/>
      <c r="I335" s="32"/>
      <c r="J335" s="32"/>
      <c r="K335" s="9"/>
      <c r="L335" s="32"/>
      <c r="M335" s="32"/>
      <c r="N335" s="32"/>
      <c r="O335" s="32"/>
    </row>
    <row r="336" spans="1:15" x14ac:dyDescent="0.3">
      <c r="A336" s="5"/>
      <c r="B336" s="5"/>
      <c r="C336" s="5"/>
      <c r="D336" s="6"/>
      <c r="E336" s="6"/>
      <c r="F336" s="5"/>
      <c r="G336" s="10"/>
      <c r="H336" s="7"/>
      <c r="I336" s="32"/>
      <c r="J336" s="32"/>
      <c r="K336" s="9"/>
      <c r="L336" s="32"/>
      <c r="M336" s="32"/>
      <c r="N336" s="32"/>
      <c r="O336" s="32"/>
    </row>
    <row r="337" spans="1:15" x14ac:dyDescent="0.3">
      <c r="A337" s="5"/>
      <c r="B337" s="5"/>
      <c r="C337" s="5"/>
      <c r="D337" s="6"/>
      <c r="E337" s="6"/>
      <c r="F337" s="5"/>
      <c r="G337" s="10"/>
      <c r="H337" s="7"/>
      <c r="I337" s="32"/>
      <c r="J337" s="32"/>
      <c r="K337" s="9"/>
      <c r="L337" s="32"/>
      <c r="M337" s="32"/>
      <c r="N337" s="32"/>
      <c r="O337" s="32"/>
    </row>
    <row r="338" spans="1:15" x14ac:dyDescent="0.3">
      <c r="A338" s="5"/>
      <c r="B338" s="5"/>
      <c r="C338" s="5"/>
      <c r="D338" s="6"/>
      <c r="E338" s="6"/>
      <c r="F338" s="5"/>
      <c r="G338" s="10"/>
      <c r="H338" s="7"/>
      <c r="I338" s="32"/>
      <c r="J338" s="32"/>
      <c r="K338" s="9"/>
      <c r="L338" s="32"/>
      <c r="M338" s="32"/>
      <c r="N338" s="32"/>
      <c r="O338" s="32"/>
    </row>
    <row r="339" spans="1:15" x14ac:dyDescent="0.3">
      <c r="A339" s="5"/>
      <c r="B339" s="5"/>
      <c r="C339" s="5"/>
      <c r="D339" s="6"/>
      <c r="E339" s="6"/>
      <c r="F339" s="5"/>
      <c r="G339" s="10"/>
      <c r="H339" s="7"/>
      <c r="I339" s="32"/>
      <c r="J339" s="32"/>
      <c r="K339" s="9"/>
      <c r="L339" s="32"/>
      <c r="M339" s="32"/>
      <c r="N339" s="32"/>
      <c r="O339" s="32"/>
    </row>
    <row r="340" spans="1:15" x14ac:dyDescent="0.3">
      <c r="A340" s="5"/>
      <c r="B340" s="5"/>
      <c r="C340" s="5"/>
      <c r="D340" s="6"/>
      <c r="E340" s="6"/>
      <c r="F340" s="5"/>
      <c r="G340" s="10"/>
      <c r="H340" s="7"/>
      <c r="I340" s="32"/>
      <c r="J340" s="32"/>
      <c r="K340" s="9"/>
      <c r="L340" s="32"/>
      <c r="M340" s="32"/>
      <c r="N340" s="32"/>
      <c r="O340" s="32"/>
    </row>
    <row r="341" spans="1:15" x14ac:dyDescent="0.3">
      <c r="A341" s="5"/>
      <c r="B341" s="5"/>
      <c r="C341" s="5"/>
      <c r="D341" s="6"/>
      <c r="E341" s="6"/>
      <c r="F341" s="5"/>
      <c r="G341" s="10"/>
      <c r="H341" s="7"/>
      <c r="I341" s="32"/>
      <c r="J341" s="32"/>
      <c r="K341" s="9"/>
      <c r="L341" s="32"/>
      <c r="M341" s="32"/>
      <c r="N341" s="32"/>
      <c r="O341" s="32"/>
    </row>
    <row r="342" spans="1:15" x14ac:dyDescent="0.3">
      <c r="A342" s="5"/>
      <c r="B342" s="5"/>
      <c r="C342" s="5"/>
      <c r="D342" s="6"/>
      <c r="E342" s="6"/>
      <c r="F342" s="5"/>
      <c r="G342" s="10"/>
      <c r="H342" s="7"/>
      <c r="I342" s="32"/>
      <c r="J342" s="32"/>
      <c r="K342" s="9"/>
      <c r="L342" s="32"/>
      <c r="M342" s="32"/>
      <c r="N342" s="32"/>
      <c r="O342" s="32"/>
    </row>
    <row r="343" spans="1:15" x14ac:dyDescent="0.3">
      <c r="A343" s="5"/>
      <c r="B343" s="5"/>
      <c r="C343" s="5"/>
      <c r="D343" s="6"/>
      <c r="E343" s="6"/>
      <c r="F343" s="5"/>
      <c r="G343" s="10"/>
      <c r="H343" s="7"/>
      <c r="I343" s="32"/>
      <c r="J343" s="32"/>
      <c r="K343" s="9"/>
      <c r="L343" s="32"/>
      <c r="M343" s="32"/>
      <c r="N343" s="32"/>
      <c r="O343" s="32"/>
    </row>
    <row r="344" spans="1:15" x14ac:dyDescent="0.3">
      <c r="A344" s="5"/>
      <c r="B344" s="5"/>
      <c r="C344" s="5"/>
      <c r="D344" s="6"/>
      <c r="E344" s="6"/>
      <c r="F344" s="5"/>
      <c r="G344" s="10"/>
      <c r="H344" s="7"/>
      <c r="I344" s="32"/>
      <c r="J344" s="32"/>
      <c r="K344" s="9"/>
      <c r="L344" s="32"/>
      <c r="M344" s="32"/>
      <c r="N344" s="32"/>
      <c r="O344" s="32"/>
    </row>
    <row r="345" spans="1:15" x14ac:dyDescent="0.3">
      <c r="A345" s="5"/>
      <c r="B345" s="5"/>
      <c r="C345" s="5"/>
      <c r="D345" s="6"/>
      <c r="E345" s="6"/>
      <c r="F345" s="5"/>
      <c r="G345" s="10"/>
      <c r="H345" s="7"/>
      <c r="I345" s="32"/>
      <c r="J345" s="32"/>
      <c r="K345" s="9"/>
      <c r="L345" s="32"/>
      <c r="M345" s="32"/>
      <c r="N345" s="32"/>
      <c r="O345" s="32"/>
    </row>
    <row r="346" spans="1:15" x14ac:dyDescent="0.3">
      <c r="A346" s="5"/>
      <c r="B346" s="5"/>
      <c r="C346" s="5"/>
      <c r="D346" s="6"/>
      <c r="E346" s="6"/>
      <c r="F346" s="5"/>
      <c r="G346" s="10"/>
      <c r="H346" s="7"/>
      <c r="I346" s="32"/>
      <c r="J346" s="32"/>
      <c r="K346" s="9"/>
      <c r="L346" s="32"/>
      <c r="M346" s="32"/>
      <c r="N346" s="32"/>
      <c r="O346" s="32"/>
    </row>
    <row r="347" spans="1:15" x14ac:dyDescent="0.3">
      <c r="A347" s="5"/>
      <c r="B347" s="5"/>
      <c r="C347" s="5"/>
      <c r="D347" s="6"/>
      <c r="E347" s="6"/>
      <c r="F347" s="5"/>
      <c r="G347" s="10"/>
      <c r="H347" s="7"/>
      <c r="I347" s="32"/>
      <c r="J347" s="32"/>
      <c r="K347" s="9"/>
      <c r="L347" s="32"/>
      <c r="M347" s="32"/>
      <c r="N347" s="32"/>
      <c r="O347" s="32"/>
    </row>
    <row r="348" spans="1:15" x14ac:dyDescent="0.3">
      <c r="A348" s="5"/>
      <c r="B348" s="5"/>
      <c r="C348" s="5"/>
      <c r="D348" s="6"/>
      <c r="E348" s="6"/>
      <c r="F348" s="5"/>
      <c r="G348" s="10"/>
      <c r="H348" s="7"/>
      <c r="I348" s="32"/>
      <c r="J348" s="32"/>
      <c r="K348" s="9"/>
      <c r="L348" s="32"/>
      <c r="M348" s="32"/>
      <c r="N348" s="32"/>
      <c r="O348" s="32"/>
    </row>
    <row r="349" spans="1:15" x14ac:dyDescent="0.3">
      <c r="A349" s="5"/>
      <c r="B349" s="5"/>
      <c r="C349" s="5"/>
      <c r="D349" s="6"/>
      <c r="E349" s="6"/>
      <c r="F349" s="5"/>
      <c r="G349" s="10"/>
      <c r="H349" s="7"/>
      <c r="I349" s="32"/>
      <c r="J349" s="32"/>
      <c r="K349" s="9"/>
      <c r="L349" s="32"/>
      <c r="M349" s="32"/>
      <c r="N349" s="32"/>
      <c r="O349" s="32"/>
    </row>
    <row r="350" spans="1:15" x14ac:dyDescent="0.3">
      <c r="A350" s="5"/>
      <c r="B350" s="5"/>
      <c r="C350" s="5"/>
      <c r="D350" s="6"/>
      <c r="E350" s="6"/>
      <c r="F350" s="5"/>
      <c r="G350" s="10"/>
      <c r="H350" s="7"/>
      <c r="I350" s="32"/>
      <c r="J350" s="32"/>
      <c r="K350" s="9"/>
      <c r="L350" s="32"/>
      <c r="M350" s="32"/>
      <c r="N350" s="32"/>
      <c r="O350" s="32"/>
    </row>
    <row r="351" spans="1:15" x14ac:dyDescent="0.3">
      <c r="A351" s="5"/>
      <c r="B351" s="5"/>
      <c r="C351" s="5"/>
      <c r="D351" s="6"/>
      <c r="E351" s="6"/>
      <c r="F351" s="5"/>
      <c r="G351" s="10"/>
      <c r="H351" s="7"/>
      <c r="I351" s="32"/>
      <c r="J351" s="32"/>
      <c r="K351" s="9"/>
      <c r="L351" s="32"/>
      <c r="M351" s="32"/>
      <c r="N351" s="32"/>
      <c r="O351" s="32"/>
    </row>
    <row r="352" spans="1:15" x14ac:dyDescent="0.3">
      <c r="A352" s="5"/>
      <c r="B352" s="5"/>
      <c r="C352" s="5"/>
      <c r="D352" s="6"/>
      <c r="E352" s="6"/>
      <c r="F352" s="5"/>
      <c r="G352" s="10"/>
      <c r="H352" s="7"/>
      <c r="I352" s="32"/>
      <c r="J352" s="32"/>
      <c r="K352" s="9"/>
      <c r="L352" s="32"/>
      <c r="M352" s="32"/>
      <c r="N352" s="32"/>
      <c r="O352" s="32"/>
    </row>
    <row r="353" spans="1:15" x14ac:dyDescent="0.3">
      <c r="A353" s="5"/>
      <c r="B353" s="5"/>
      <c r="C353" s="5"/>
      <c r="D353" s="6"/>
      <c r="E353" s="6"/>
      <c r="F353" s="5"/>
      <c r="G353" s="10"/>
      <c r="H353" s="7"/>
      <c r="I353" s="32"/>
      <c r="J353" s="32"/>
      <c r="K353" s="9"/>
      <c r="L353" s="32"/>
      <c r="M353" s="32"/>
      <c r="N353" s="32"/>
      <c r="O353" s="32"/>
    </row>
    <row r="354" spans="1:15" x14ac:dyDescent="0.3">
      <c r="A354" s="5"/>
      <c r="B354" s="5"/>
      <c r="C354" s="5"/>
      <c r="D354" s="6"/>
      <c r="E354" s="6"/>
      <c r="F354" s="5"/>
      <c r="G354" s="10"/>
      <c r="H354" s="7"/>
      <c r="I354" s="32"/>
      <c r="J354" s="32"/>
      <c r="K354" s="9"/>
      <c r="L354" s="32"/>
      <c r="M354" s="32"/>
      <c r="N354" s="32"/>
      <c r="O354" s="32"/>
    </row>
    <row r="355" spans="1:15" x14ac:dyDescent="0.3">
      <c r="A355" s="5"/>
      <c r="B355" s="5"/>
      <c r="C355" s="5"/>
      <c r="D355" s="6"/>
      <c r="E355" s="6"/>
      <c r="F355" s="5"/>
      <c r="G355" s="10"/>
      <c r="H355" s="7"/>
      <c r="I355" s="32"/>
      <c r="J355" s="32"/>
      <c r="K355" s="9"/>
      <c r="L355" s="32"/>
      <c r="M355" s="32"/>
      <c r="N355" s="32"/>
      <c r="O355" s="32"/>
    </row>
    <row r="356" spans="1:15" x14ac:dyDescent="0.3">
      <c r="A356" s="5"/>
      <c r="B356" s="5"/>
      <c r="C356" s="5"/>
      <c r="D356" s="6"/>
      <c r="E356" s="6"/>
      <c r="F356" s="5"/>
      <c r="G356" s="10"/>
      <c r="H356" s="7"/>
      <c r="I356" s="32"/>
      <c r="J356" s="32"/>
      <c r="K356" s="9"/>
      <c r="L356" s="32"/>
      <c r="M356" s="32"/>
      <c r="N356" s="32"/>
      <c r="O356" s="32"/>
    </row>
    <row r="357" spans="1:15" x14ac:dyDescent="0.3">
      <c r="A357" s="5"/>
      <c r="B357" s="5"/>
      <c r="C357" s="5"/>
      <c r="D357" s="6"/>
      <c r="E357" s="6"/>
      <c r="F357" s="5"/>
      <c r="G357" s="10"/>
      <c r="H357" s="7"/>
      <c r="I357" s="32"/>
      <c r="J357" s="32"/>
      <c r="K357" s="9"/>
      <c r="L357" s="32"/>
      <c r="M357" s="32"/>
      <c r="N357" s="32"/>
      <c r="O357" s="32"/>
    </row>
    <row r="358" spans="1:15" x14ac:dyDescent="0.3">
      <c r="A358" s="5"/>
      <c r="B358" s="5"/>
      <c r="C358" s="5"/>
      <c r="D358" s="6"/>
      <c r="E358" s="6"/>
      <c r="F358" s="5"/>
      <c r="G358" s="10"/>
      <c r="H358" s="7"/>
      <c r="I358" s="32"/>
      <c r="J358" s="32"/>
      <c r="K358" s="9"/>
      <c r="L358" s="32"/>
      <c r="M358" s="32"/>
      <c r="N358" s="32"/>
      <c r="O358" s="32"/>
    </row>
    <row r="359" spans="1:15" x14ac:dyDescent="0.3">
      <c r="A359" s="5"/>
      <c r="B359" s="5"/>
      <c r="C359" s="5"/>
      <c r="D359" s="6"/>
      <c r="E359" s="6"/>
      <c r="F359" s="5"/>
      <c r="G359" s="10"/>
      <c r="H359" s="7"/>
      <c r="I359" s="32"/>
      <c r="J359" s="32"/>
      <c r="K359" s="9"/>
      <c r="L359" s="32"/>
      <c r="M359" s="32"/>
      <c r="N359" s="32"/>
      <c r="O359" s="32"/>
    </row>
    <row r="360" spans="1:15" x14ac:dyDescent="0.3">
      <c r="A360" s="5"/>
      <c r="B360" s="5"/>
      <c r="C360" s="5"/>
      <c r="D360" s="6"/>
      <c r="E360" s="6"/>
      <c r="F360" s="5"/>
      <c r="G360" s="10"/>
      <c r="H360" s="7"/>
      <c r="I360" s="32"/>
      <c r="J360" s="32"/>
      <c r="K360" s="9"/>
      <c r="L360" s="32"/>
      <c r="M360" s="32"/>
      <c r="N360" s="32"/>
      <c r="O360" s="32"/>
    </row>
    <row r="361" spans="1:15" x14ac:dyDescent="0.3">
      <c r="A361" s="5"/>
      <c r="B361" s="5"/>
      <c r="C361" s="5"/>
      <c r="D361" s="6"/>
      <c r="E361" s="6"/>
      <c r="F361" s="5"/>
      <c r="G361" s="10"/>
      <c r="H361" s="7"/>
      <c r="I361" s="32"/>
      <c r="J361" s="32"/>
      <c r="K361" s="9"/>
      <c r="L361" s="32"/>
      <c r="M361" s="32"/>
      <c r="N361" s="32"/>
      <c r="O361" s="32"/>
    </row>
    <row r="362" spans="1:15" x14ac:dyDescent="0.3">
      <c r="A362" s="5"/>
      <c r="B362" s="5"/>
      <c r="C362" s="5"/>
      <c r="D362" s="6"/>
      <c r="E362" s="6"/>
      <c r="F362" s="5"/>
      <c r="G362" s="10"/>
      <c r="H362" s="7"/>
      <c r="I362" s="32"/>
      <c r="J362" s="32"/>
      <c r="K362" s="9"/>
      <c r="L362" s="32"/>
      <c r="M362" s="32"/>
      <c r="N362" s="32"/>
      <c r="O362" s="32"/>
    </row>
    <row r="363" spans="1:15" x14ac:dyDescent="0.3">
      <c r="A363" s="5"/>
      <c r="B363" s="5"/>
      <c r="C363" s="5"/>
      <c r="D363" s="6"/>
      <c r="E363" s="6"/>
      <c r="F363" s="5"/>
      <c r="G363" s="10"/>
      <c r="H363" s="7"/>
      <c r="I363" s="32"/>
      <c r="J363" s="32"/>
      <c r="K363" s="9"/>
      <c r="L363" s="32"/>
      <c r="M363" s="32"/>
      <c r="N363" s="32"/>
      <c r="O363" s="32"/>
    </row>
    <row r="364" spans="1:15" x14ac:dyDescent="0.3">
      <c r="A364" s="5"/>
      <c r="B364" s="5"/>
      <c r="C364" s="5"/>
      <c r="D364" s="6"/>
      <c r="E364" s="6"/>
      <c r="F364" s="5"/>
      <c r="G364" s="10"/>
      <c r="H364" s="7"/>
      <c r="I364" s="32"/>
      <c r="J364" s="32"/>
      <c r="K364" s="9"/>
      <c r="L364" s="32"/>
      <c r="M364" s="32"/>
      <c r="N364" s="32"/>
      <c r="O364" s="32"/>
    </row>
    <row r="365" spans="1:15" x14ac:dyDescent="0.3">
      <c r="A365" s="5"/>
      <c r="B365" s="5"/>
      <c r="C365" s="5"/>
      <c r="D365" s="6"/>
      <c r="E365" s="6"/>
      <c r="F365" s="5"/>
      <c r="G365" s="10"/>
      <c r="H365" s="7"/>
      <c r="I365" s="32"/>
      <c r="J365" s="32"/>
      <c r="K365" s="9"/>
      <c r="L365" s="32"/>
      <c r="M365" s="32"/>
      <c r="N365" s="32"/>
      <c r="O365" s="32"/>
    </row>
    <row r="366" spans="1:15" x14ac:dyDescent="0.3">
      <c r="A366" s="5"/>
      <c r="B366" s="5"/>
      <c r="C366" s="5"/>
      <c r="D366" s="6"/>
      <c r="E366" s="6"/>
      <c r="F366" s="5"/>
      <c r="G366" s="10"/>
      <c r="H366" s="7"/>
      <c r="I366" s="32"/>
      <c r="J366" s="32"/>
      <c r="K366" s="9"/>
      <c r="L366" s="32"/>
      <c r="M366" s="32"/>
      <c r="N366" s="32"/>
      <c r="O366" s="32"/>
    </row>
    <row r="367" spans="1:15" x14ac:dyDescent="0.3">
      <c r="A367" s="5"/>
      <c r="B367" s="5"/>
      <c r="C367" s="5"/>
      <c r="D367" s="6"/>
      <c r="E367" s="6"/>
      <c r="F367" s="5"/>
      <c r="G367" s="10"/>
      <c r="H367" s="7"/>
      <c r="I367" s="32"/>
      <c r="J367" s="32"/>
      <c r="K367" s="9"/>
      <c r="L367" s="32"/>
      <c r="M367" s="32"/>
      <c r="N367" s="32"/>
      <c r="O367" s="32"/>
    </row>
    <row r="368" spans="1:15" x14ac:dyDescent="0.3">
      <c r="A368" s="5"/>
      <c r="B368" s="5"/>
      <c r="C368" s="5"/>
      <c r="D368" s="6"/>
      <c r="E368" s="6"/>
      <c r="F368" s="5"/>
      <c r="G368" s="10"/>
      <c r="H368" s="7"/>
      <c r="I368" s="32"/>
      <c r="J368" s="32"/>
      <c r="K368" s="9"/>
      <c r="L368" s="32"/>
      <c r="M368" s="32"/>
      <c r="N368" s="32"/>
      <c r="O368" s="32"/>
    </row>
    <row r="369" spans="1:15" x14ac:dyDescent="0.3">
      <c r="A369" s="5"/>
      <c r="B369" s="5"/>
      <c r="C369" s="5"/>
      <c r="D369" s="6"/>
      <c r="E369" s="6"/>
      <c r="F369" s="5"/>
      <c r="G369" s="10"/>
      <c r="H369" s="7"/>
      <c r="I369" s="32"/>
      <c r="J369" s="32"/>
      <c r="K369" s="9"/>
      <c r="L369" s="32"/>
      <c r="M369" s="32"/>
      <c r="N369" s="32"/>
      <c r="O369" s="32"/>
    </row>
    <row r="370" spans="1:15" x14ac:dyDescent="0.3">
      <c r="A370" s="5"/>
      <c r="B370" s="5"/>
      <c r="C370" s="5"/>
      <c r="D370" s="6"/>
      <c r="E370" s="6"/>
      <c r="F370" s="5"/>
      <c r="G370" s="10"/>
      <c r="H370" s="7"/>
      <c r="I370" s="32"/>
      <c r="J370" s="32"/>
      <c r="K370" s="9"/>
      <c r="L370" s="32"/>
      <c r="M370" s="32"/>
      <c r="N370" s="32"/>
      <c r="O370" s="32"/>
    </row>
    <row r="371" spans="1:15" x14ac:dyDescent="0.3">
      <c r="A371" s="5"/>
      <c r="B371" s="5"/>
      <c r="C371" s="5"/>
      <c r="D371" s="6"/>
      <c r="E371" s="6"/>
      <c r="F371" s="5"/>
      <c r="G371" s="10"/>
      <c r="H371" s="7"/>
      <c r="I371" s="32"/>
      <c r="J371" s="32"/>
      <c r="K371" s="9"/>
      <c r="L371" s="32"/>
      <c r="M371" s="32"/>
      <c r="N371" s="32"/>
      <c r="O371" s="32"/>
    </row>
    <row r="372" spans="1:15" x14ac:dyDescent="0.3">
      <c r="A372" s="5"/>
      <c r="B372" s="5"/>
      <c r="C372" s="5"/>
      <c r="D372" s="6"/>
      <c r="E372" s="6"/>
      <c r="F372" s="5"/>
      <c r="G372" s="10"/>
      <c r="H372" s="7"/>
      <c r="I372" s="32"/>
      <c r="J372" s="32"/>
      <c r="K372" s="9"/>
      <c r="L372" s="32"/>
      <c r="M372" s="32"/>
      <c r="N372" s="32"/>
      <c r="O372" s="32"/>
    </row>
    <row r="373" spans="1:15" x14ac:dyDescent="0.3">
      <c r="A373" s="5"/>
      <c r="B373" s="5"/>
      <c r="C373" s="5"/>
      <c r="D373" s="6"/>
      <c r="E373" s="6"/>
      <c r="F373" s="5"/>
      <c r="G373" s="10"/>
      <c r="H373" s="7"/>
      <c r="I373" s="32"/>
      <c r="J373" s="32"/>
      <c r="K373" s="9"/>
      <c r="L373" s="32"/>
      <c r="M373" s="32"/>
      <c r="N373" s="32"/>
      <c r="O373" s="32"/>
    </row>
    <row r="374" spans="1:15" x14ac:dyDescent="0.3">
      <c r="A374" s="5"/>
      <c r="B374" s="5"/>
      <c r="C374" s="5"/>
      <c r="D374" s="6"/>
      <c r="E374" s="6"/>
      <c r="F374" s="5"/>
      <c r="G374" s="10"/>
      <c r="H374" s="7"/>
      <c r="I374" s="32"/>
      <c r="J374" s="32"/>
      <c r="K374" s="9"/>
      <c r="L374" s="32"/>
      <c r="M374" s="32"/>
      <c r="N374" s="32"/>
      <c r="O374" s="32"/>
    </row>
    <row r="375" spans="1:15" x14ac:dyDescent="0.3">
      <c r="A375" s="5"/>
      <c r="B375" s="5"/>
      <c r="C375" s="5"/>
      <c r="D375" s="6"/>
      <c r="E375" s="6"/>
      <c r="F375" s="5"/>
      <c r="G375" s="10"/>
      <c r="H375" s="7"/>
      <c r="I375" s="32"/>
      <c r="J375" s="32"/>
      <c r="K375" s="9"/>
      <c r="L375" s="32"/>
      <c r="M375" s="32"/>
      <c r="N375" s="32"/>
      <c r="O375" s="32"/>
    </row>
    <row r="376" spans="1:15" x14ac:dyDescent="0.3">
      <c r="A376" s="5"/>
      <c r="B376" s="5"/>
      <c r="C376" s="5"/>
      <c r="D376" s="6"/>
      <c r="E376" s="6"/>
      <c r="F376" s="5"/>
      <c r="G376" s="10"/>
      <c r="H376" s="7"/>
      <c r="I376" s="32"/>
      <c r="J376" s="32"/>
      <c r="K376" s="9"/>
      <c r="L376" s="32"/>
      <c r="M376" s="32"/>
      <c r="N376" s="32"/>
      <c r="O376" s="32"/>
    </row>
    <row r="377" spans="1:15" x14ac:dyDescent="0.3">
      <c r="A377" s="5"/>
      <c r="B377" s="5"/>
      <c r="C377" s="5"/>
      <c r="D377" s="6"/>
      <c r="E377" s="6"/>
      <c r="F377" s="5"/>
      <c r="G377" s="10"/>
      <c r="H377" s="7"/>
      <c r="I377" s="32"/>
      <c r="J377" s="32"/>
      <c r="K377" s="9"/>
      <c r="L377" s="32"/>
      <c r="M377" s="32"/>
      <c r="N377" s="32"/>
      <c r="O377" s="32"/>
    </row>
    <row r="378" spans="1:15" x14ac:dyDescent="0.3">
      <c r="A378" s="5"/>
      <c r="B378" s="5"/>
      <c r="C378" s="5"/>
      <c r="D378" s="6"/>
      <c r="E378" s="6"/>
      <c r="F378" s="5"/>
      <c r="G378" s="10"/>
      <c r="H378" s="7"/>
      <c r="I378" s="32"/>
      <c r="J378" s="32"/>
      <c r="K378" s="9"/>
      <c r="L378" s="32"/>
      <c r="M378" s="32"/>
      <c r="N378" s="32"/>
      <c r="O378" s="32"/>
    </row>
    <row r="379" spans="1:15" x14ac:dyDescent="0.3">
      <c r="A379" s="5"/>
      <c r="B379" s="5"/>
      <c r="C379" s="5"/>
      <c r="D379" s="6"/>
      <c r="E379" s="6"/>
      <c r="F379" s="5"/>
      <c r="G379" s="10"/>
      <c r="H379" s="7"/>
      <c r="I379" s="32"/>
      <c r="J379" s="32"/>
      <c r="K379" s="9"/>
      <c r="L379" s="32"/>
      <c r="M379" s="32"/>
      <c r="N379" s="32"/>
      <c r="O379" s="32"/>
    </row>
    <row r="380" spans="1:15" x14ac:dyDescent="0.3">
      <c r="A380" s="5"/>
      <c r="B380" s="5"/>
      <c r="C380" s="5"/>
      <c r="D380" s="6"/>
      <c r="E380" s="6"/>
      <c r="F380" s="5"/>
      <c r="G380" s="10"/>
      <c r="H380" s="7"/>
      <c r="I380" s="32"/>
      <c r="J380" s="32"/>
      <c r="K380" s="9"/>
      <c r="L380" s="32"/>
      <c r="M380" s="32"/>
      <c r="N380" s="32"/>
      <c r="O380" s="32"/>
    </row>
    <row r="381" spans="1:15" x14ac:dyDescent="0.3">
      <c r="A381" s="5"/>
      <c r="B381" s="5"/>
      <c r="C381" s="5"/>
      <c r="D381" s="6"/>
      <c r="E381" s="6"/>
      <c r="F381" s="5"/>
      <c r="G381" s="10"/>
      <c r="H381" s="7"/>
      <c r="I381" s="32"/>
      <c r="J381" s="32"/>
      <c r="K381" s="9"/>
      <c r="L381" s="32"/>
      <c r="M381" s="32"/>
      <c r="N381" s="32"/>
      <c r="O381" s="32"/>
    </row>
    <row r="382" spans="1:15" x14ac:dyDescent="0.3">
      <c r="A382" s="5"/>
      <c r="B382" s="5"/>
      <c r="C382" s="5"/>
      <c r="D382" s="6"/>
      <c r="E382" s="6"/>
      <c r="F382" s="5"/>
      <c r="G382" s="10"/>
      <c r="H382" s="7"/>
      <c r="I382" s="32"/>
      <c r="J382" s="32"/>
      <c r="K382" s="9"/>
      <c r="L382" s="32"/>
      <c r="M382" s="32"/>
      <c r="N382" s="32"/>
      <c r="O382" s="32"/>
    </row>
    <row r="383" spans="1:15" x14ac:dyDescent="0.3">
      <c r="A383" s="5"/>
      <c r="B383" s="5"/>
      <c r="C383" s="5"/>
      <c r="D383" s="6"/>
      <c r="E383" s="6"/>
      <c r="F383" s="5"/>
      <c r="G383" s="10"/>
      <c r="H383" s="7"/>
      <c r="I383" s="32"/>
      <c r="J383" s="32"/>
      <c r="K383" s="9"/>
      <c r="L383" s="32"/>
      <c r="M383" s="32"/>
      <c r="N383" s="32"/>
      <c r="O383" s="32"/>
    </row>
    <row r="384" spans="1:15" x14ac:dyDescent="0.3">
      <c r="A384" s="5"/>
      <c r="B384" s="5"/>
      <c r="C384" s="5"/>
      <c r="D384" s="6"/>
      <c r="E384" s="6"/>
      <c r="F384" s="5"/>
      <c r="G384" s="10"/>
      <c r="H384" s="7"/>
      <c r="I384" s="32"/>
      <c r="J384" s="32"/>
      <c r="K384" s="9"/>
      <c r="L384" s="32"/>
      <c r="M384" s="32"/>
      <c r="N384" s="32"/>
      <c r="O384" s="32"/>
    </row>
    <row r="385" spans="1:15" x14ac:dyDescent="0.3">
      <c r="A385" s="5"/>
      <c r="B385" s="5"/>
      <c r="C385" s="5"/>
      <c r="D385" s="6"/>
      <c r="E385" s="6"/>
      <c r="F385" s="5"/>
      <c r="G385" s="10"/>
      <c r="H385" s="7"/>
      <c r="I385" s="32"/>
      <c r="J385" s="32"/>
      <c r="K385" s="9"/>
      <c r="L385" s="32"/>
      <c r="M385" s="32"/>
      <c r="N385" s="32"/>
      <c r="O385" s="32"/>
    </row>
    <row r="386" spans="1:15" x14ac:dyDescent="0.3">
      <c r="A386" s="5"/>
      <c r="B386" s="5"/>
      <c r="C386" s="5"/>
      <c r="D386" s="6"/>
      <c r="E386" s="6"/>
      <c r="F386" s="5"/>
      <c r="G386" s="10"/>
      <c r="H386" s="7"/>
      <c r="I386" s="32"/>
      <c r="J386" s="32"/>
      <c r="K386" s="9"/>
      <c r="L386" s="32"/>
      <c r="M386" s="32"/>
      <c r="N386" s="32"/>
      <c r="O386" s="32"/>
    </row>
    <row r="387" spans="1:15" x14ac:dyDescent="0.3">
      <c r="E387" s="6"/>
      <c r="G387" s="10"/>
    </row>
    <row r="388" spans="1:15" x14ac:dyDescent="0.3">
      <c r="E388" s="6"/>
      <c r="G388" s="10"/>
    </row>
    <row r="389" spans="1:15" x14ac:dyDescent="0.3">
      <c r="E389" s="6"/>
      <c r="G389" s="10"/>
    </row>
    <row r="390" spans="1:15" x14ac:dyDescent="0.3">
      <c r="E390" s="6"/>
      <c r="G390" s="10"/>
    </row>
    <row r="391" spans="1:15" x14ac:dyDescent="0.3">
      <c r="E391" s="6"/>
      <c r="G391" s="10"/>
    </row>
    <row r="392" spans="1:15" x14ac:dyDescent="0.3">
      <c r="E392" s="6"/>
      <c r="G392" s="10"/>
    </row>
    <row r="393" spans="1:15" x14ac:dyDescent="0.3">
      <c r="E393" s="6"/>
      <c r="G393" s="10"/>
    </row>
    <row r="394" spans="1:15" x14ac:dyDescent="0.3">
      <c r="E394" s="6"/>
      <c r="G394" s="10"/>
    </row>
    <row r="395" spans="1:15" x14ac:dyDescent="0.3">
      <c r="E395" s="6"/>
      <c r="G395" s="10"/>
    </row>
    <row r="396" spans="1:15" x14ac:dyDescent="0.3">
      <c r="E396" s="6"/>
      <c r="G396" s="10"/>
    </row>
    <row r="397" spans="1:15" x14ac:dyDescent="0.3">
      <c r="E397" s="6"/>
      <c r="G397" s="10"/>
    </row>
    <row r="398" spans="1:15" x14ac:dyDescent="0.3">
      <c r="E398" s="6"/>
      <c r="G398" s="10"/>
    </row>
    <row r="399" spans="1:15" x14ac:dyDescent="0.3">
      <c r="E399" s="6"/>
      <c r="G399" s="10"/>
    </row>
    <row r="400" spans="1:15" x14ac:dyDescent="0.3">
      <c r="E400" s="6"/>
      <c r="G400" s="10"/>
    </row>
    <row r="401" spans="5:7" x14ac:dyDescent="0.3">
      <c r="E401" s="6"/>
      <c r="G401" s="10"/>
    </row>
  </sheetData>
  <autoFilter ref="A3:P151" xr:uid="{74F97665-607E-40BC-A05A-A4982DA0315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CBB7-41D4-41C0-8A56-16BA3BB29BEB}">
  <dimension ref="A1:T40"/>
  <sheetViews>
    <sheetView topLeftCell="A3" workbookViewId="0">
      <selection activeCell="T8" sqref="T8"/>
    </sheetView>
  </sheetViews>
  <sheetFormatPr defaultRowHeight="14.4" x14ac:dyDescent="0.3"/>
  <cols>
    <col min="1" max="1" width="36.109375" bestFit="1" customWidth="1"/>
    <col min="2" max="2" width="2" bestFit="1" customWidth="1"/>
    <col min="3" max="3" width="23.88671875" bestFit="1" customWidth="1"/>
    <col min="4" max="4" width="14.88671875" bestFit="1" customWidth="1"/>
    <col min="5" max="5" width="13.88671875" bestFit="1" customWidth="1"/>
    <col min="6" max="6" width="13.33203125" bestFit="1" customWidth="1"/>
    <col min="7" max="7" width="12.88671875" bestFit="1" customWidth="1"/>
    <col min="8" max="8" width="6.88671875" bestFit="1" customWidth="1"/>
    <col min="9" max="9" width="21.44140625" bestFit="1" customWidth="1"/>
    <col min="10" max="10" width="14.33203125" bestFit="1" customWidth="1"/>
    <col min="11" max="12" width="12.5546875" bestFit="1" customWidth="1"/>
    <col min="13" max="13" width="12.33203125" bestFit="1" customWidth="1"/>
    <col min="14" max="14" width="6.88671875" bestFit="1" customWidth="1"/>
    <col min="15" max="15" width="18.6640625" bestFit="1" customWidth="1"/>
    <col min="16" max="16" width="10" bestFit="1" customWidth="1"/>
    <col min="17" max="18" width="10.6640625" bestFit="1" customWidth="1"/>
    <col min="19" max="19" width="8.109375" bestFit="1" customWidth="1"/>
    <col min="20" max="20" width="16.5546875" bestFit="1" customWidth="1"/>
  </cols>
  <sheetData>
    <row r="1" spans="1:20" x14ac:dyDescent="0.3">
      <c r="A1" t="s">
        <v>33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20" x14ac:dyDescent="0.3">
      <c r="C2" s="35" t="s">
        <v>14</v>
      </c>
      <c r="D2" s="36"/>
      <c r="E2" s="36"/>
      <c r="F2" s="36"/>
      <c r="G2" s="37"/>
      <c r="H2" s="23"/>
      <c r="I2" s="35" t="s">
        <v>15</v>
      </c>
      <c r="J2" s="36"/>
      <c r="K2" s="36"/>
      <c r="L2" s="36"/>
      <c r="M2" s="37"/>
      <c r="N2" s="23"/>
      <c r="O2" s="38" t="s">
        <v>16</v>
      </c>
      <c r="P2" s="39"/>
      <c r="Q2" s="39"/>
      <c r="R2" s="39"/>
      <c r="S2" s="39"/>
    </row>
    <row r="3" spans="1:20" x14ac:dyDescent="0.3">
      <c r="A3" s="24" t="s">
        <v>17</v>
      </c>
      <c r="B3" s="24">
        <v>0</v>
      </c>
      <c r="C3" s="20" t="s">
        <v>20</v>
      </c>
      <c r="D3" s="20" t="s">
        <v>21</v>
      </c>
      <c r="E3" s="20" t="s">
        <v>22</v>
      </c>
      <c r="F3" s="20" t="s">
        <v>23</v>
      </c>
      <c r="G3" s="20" t="s">
        <v>13</v>
      </c>
      <c r="H3" s="20">
        <v>0</v>
      </c>
      <c r="I3" s="20" t="s">
        <v>24</v>
      </c>
      <c r="J3" s="20" t="s">
        <v>25</v>
      </c>
      <c r="K3" s="20" t="s">
        <v>26</v>
      </c>
      <c r="L3" s="20" t="s">
        <v>27</v>
      </c>
      <c r="M3" s="20" t="s">
        <v>13</v>
      </c>
      <c r="N3" s="20">
        <v>0</v>
      </c>
      <c r="O3" s="20" t="s">
        <v>28</v>
      </c>
      <c r="P3" s="20" t="s">
        <v>10</v>
      </c>
      <c r="Q3" s="20" t="s">
        <v>11</v>
      </c>
      <c r="R3" s="20" t="s">
        <v>12</v>
      </c>
      <c r="S3" s="20" t="s">
        <v>13</v>
      </c>
      <c r="T3" s="25"/>
    </row>
    <row r="4" spans="1:20" x14ac:dyDescent="0.3">
      <c r="A4" s="18" t="s">
        <v>63</v>
      </c>
      <c r="B4" s="18"/>
      <c r="C4" s="20">
        <f>SUMIF(Book!$C:$C,$A4,Book!J:J)</f>
        <v>120086.7</v>
      </c>
      <c r="D4" s="20">
        <f>SUMIF(Book!$C:$C,$A4,Book!L:L)</f>
        <v>0</v>
      </c>
      <c r="E4" s="20">
        <f>SUMIF(Book!$C:$C,$A4,Book!M:M)</f>
        <v>10807.800000000001</v>
      </c>
      <c r="F4" s="20">
        <f>SUMIF(Book!$C:$C,$A4,Book!N:N)</f>
        <v>10807.800000000001</v>
      </c>
      <c r="G4" s="20">
        <f>SUMIF(Book!$C:$C,$A4,Book!O:O)</f>
        <v>0</v>
      </c>
      <c r="H4" s="20"/>
      <c r="I4" s="20">
        <f>SUMIF('GSTR-2B'!$C:$C,$A4,'GSTR-2B'!J:J)</f>
        <v>120086.7</v>
      </c>
      <c r="J4" s="20">
        <f>SUMIF('GSTR-2B'!$C:$C,$A4,'GSTR-2B'!L:L)</f>
        <v>0</v>
      </c>
      <c r="K4" s="20">
        <f>SUMIF('GSTR-2B'!$C:$C,$A4,'GSTR-2B'!M:M)</f>
        <v>10807.800000000001</v>
      </c>
      <c r="L4" s="20">
        <f>SUMIF('GSTR-2B'!$C:$C,$A4,'GSTR-2B'!N:N)</f>
        <v>10807.800000000001</v>
      </c>
      <c r="M4" s="20">
        <f>SUMIF('GSTR-2B'!$C:$C,$A4,'GSTR-2B'!O:O)</f>
        <v>0</v>
      </c>
      <c r="N4" s="20"/>
      <c r="O4" s="20">
        <f>+C4-I4</f>
        <v>0</v>
      </c>
      <c r="P4" s="20">
        <f>+D4-J4</f>
        <v>0</v>
      </c>
      <c r="Q4" s="20">
        <f>+E4-K4</f>
        <v>0</v>
      </c>
      <c r="R4" s="20">
        <f>+F4-L4</f>
        <v>0</v>
      </c>
      <c r="S4" s="20">
        <f>+G4-M4</f>
        <v>0</v>
      </c>
      <c r="T4" t="s">
        <v>29</v>
      </c>
    </row>
    <row r="5" spans="1:20" x14ac:dyDescent="0.3">
      <c r="A5" s="18" t="s">
        <v>64</v>
      </c>
      <c r="B5" s="18"/>
      <c r="C5" s="20">
        <f>SUMIF(Book!$C:$C,$A5,Book!J:J)</f>
        <v>6021367.79</v>
      </c>
      <c r="D5" s="20">
        <f>SUMIF(Book!$C:$C,$A5,Book!L:L)</f>
        <v>1083846.21</v>
      </c>
      <c r="E5" s="20">
        <f>SUMIF(Book!$C:$C,$A5,Book!M:M)</f>
        <v>0</v>
      </c>
      <c r="F5" s="20">
        <f>SUMIF(Book!$C:$C,$A5,Book!N:N)</f>
        <v>0</v>
      </c>
      <c r="G5" s="20">
        <f>SUMIF(Book!$C:$C,$A5,Book!O:O)</f>
        <v>0</v>
      </c>
      <c r="H5" s="20"/>
      <c r="I5" s="20">
        <f>SUMIF('GSTR-2B'!$C:$C,$A5,'GSTR-2B'!J:J)</f>
        <v>6021367.79</v>
      </c>
      <c r="J5" s="20">
        <f>SUMIF('GSTR-2B'!$C:$C,$A5,'GSTR-2B'!L:L)</f>
        <v>1083846.21</v>
      </c>
      <c r="K5" s="20">
        <f>SUMIF('GSTR-2B'!$C:$C,$A5,'GSTR-2B'!M:M)</f>
        <v>0</v>
      </c>
      <c r="L5" s="20">
        <f>SUMIF('GSTR-2B'!$C:$C,$A5,'GSTR-2B'!N:N)</f>
        <v>0</v>
      </c>
      <c r="M5" s="20">
        <f>SUMIF('GSTR-2B'!$C:$C,$A5,'GSTR-2B'!O:O)</f>
        <v>0</v>
      </c>
      <c r="N5" s="20"/>
      <c r="O5" s="20">
        <f t="shared" ref="O5:O33" si="0">+C5-I5</f>
        <v>0</v>
      </c>
      <c r="P5" s="20">
        <f t="shared" ref="P5:P33" si="1">+D5-J5</f>
        <v>0</v>
      </c>
      <c r="Q5" s="20">
        <f t="shared" ref="Q5:Q33" si="2">+E5-K5</f>
        <v>0</v>
      </c>
      <c r="R5" s="20">
        <f t="shared" ref="R5:S33" si="3">+F5-L5</f>
        <v>0</v>
      </c>
      <c r="S5" s="20">
        <f t="shared" si="3"/>
        <v>0</v>
      </c>
      <c r="T5" t="s">
        <v>29</v>
      </c>
    </row>
    <row r="6" spans="1:20" x14ac:dyDescent="0.3">
      <c r="A6" s="18" t="s">
        <v>65</v>
      </c>
      <c r="B6" s="18"/>
      <c r="C6" s="20">
        <f>SUMIF(Book!$C:$C,$A6,Book!J:J)</f>
        <v>18280760.460000001</v>
      </c>
      <c r="D6" s="20">
        <f>SUMIF(Book!$C:$C,$A6,Book!L:L)</f>
        <v>0</v>
      </c>
      <c r="E6" s="20">
        <f>SUMIF(Book!$C:$C,$A6,Book!M:M)</f>
        <v>1645268.4400000002</v>
      </c>
      <c r="F6" s="20">
        <f>SUMIF(Book!$C:$C,$A6,Book!N:N)</f>
        <v>1645268.4400000002</v>
      </c>
      <c r="G6" s="20">
        <f>SUMIF(Book!$C:$C,$A6,Book!O:O)</f>
        <v>0</v>
      </c>
      <c r="H6" s="20"/>
      <c r="I6" s="20">
        <f>SUMIF('GSTR-2B'!$C:$C,$A6,'GSTR-2B'!J:J)</f>
        <v>18280760.440000001</v>
      </c>
      <c r="J6" s="20">
        <f>SUMIF('GSTR-2B'!$C:$C,$A6,'GSTR-2B'!L:L)</f>
        <v>0</v>
      </c>
      <c r="K6" s="20">
        <f>SUMIF('GSTR-2B'!$C:$C,$A6,'GSTR-2B'!M:M)</f>
        <v>1645268.4400000002</v>
      </c>
      <c r="L6" s="20">
        <f>SUMIF('GSTR-2B'!$C:$C,$A6,'GSTR-2B'!N:N)</f>
        <v>1645268.4400000002</v>
      </c>
      <c r="M6" s="20">
        <f>SUMIF('GSTR-2B'!$C:$C,$A6,'GSTR-2B'!O:O)</f>
        <v>0</v>
      </c>
      <c r="N6" s="20"/>
      <c r="O6" s="20">
        <f t="shared" si="0"/>
        <v>1.9999999552965164E-2</v>
      </c>
      <c r="P6" s="20">
        <f t="shared" si="1"/>
        <v>0</v>
      </c>
      <c r="Q6" s="20">
        <f t="shared" si="2"/>
        <v>0</v>
      </c>
      <c r="R6" s="20">
        <f t="shared" si="3"/>
        <v>0</v>
      </c>
      <c r="S6" s="20">
        <f t="shared" si="3"/>
        <v>0</v>
      </c>
      <c r="T6" t="s">
        <v>29</v>
      </c>
    </row>
    <row r="7" spans="1:20" x14ac:dyDescent="0.3">
      <c r="A7" s="18" t="s">
        <v>66</v>
      </c>
      <c r="B7" s="18"/>
      <c r="C7" s="20">
        <f>SUMIF(Book!$C:$C,$A7,Book!J:J)</f>
        <v>7688333.6700000009</v>
      </c>
      <c r="D7" s="20">
        <f>SUMIF(Book!$C:$C,$A7,Book!L:L)</f>
        <v>0</v>
      </c>
      <c r="E7" s="20">
        <f>SUMIF(Book!$C:$C,$A7,Book!M:M)</f>
        <v>691950.02000000014</v>
      </c>
      <c r="F7" s="20">
        <f>SUMIF(Book!$C:$C,$A7,Book!N:N)</f>
        <v>691950.02000000014</v>
      </c>
      <c r="G7" s="20">
        <f>SUMIF(Book!$C:$C,$A7,Book!O:O)</f>
        <v>0</v>
      </c>
      <c r="H7" s="20"/>
      <c r="I7" s="20">
        <f>SUMIF('GSTR-2B'!$C:$C,$A7,'GSTR-2B'!J:J)</f>
        <v>7688333.6600000011</v>
      </c>
      <c r="J7" s="20">
        <f>SUMIF('GSTR-2B'!$C:$C,$A7,'GSTR-2B'!L:L)</f>
        <v>0</v>
      </c>
      <c r="K7" s="20">
        <f>SUMIF('GSTR-2B'!$C:$C,$A7,'GSTR-2B'!M:M)</f>
        <v>691950</v>
      </c>
      <c r="L7" s="20">
        <f>SUMIF('GSTR-2B'!$C:$C,$A7,'GSTR-2B'!N:N)</f>
        <v>691950</v>
      </c>
      <c r="M7" s="20">
        <f>SUMIF('GSTR-2B'!$C:$C,$A7,'GSTR-2B'!O:O)</f>
        <v>0</v>
      </c>
      <c r="N7" s="20"/>
      <c r="O7" s="20">
        <f t="shared" si="0"/>
        <v>9.9999997764825821E-3</v>
      </c>
      <c r="P7" s="20">
        <f t="shared" si="1"/>
        <v>0</v>
      </c>
      <c r="Q7" s="20">
        <f t="shared" si="2"/>
        <v>2.0000000135041773E-2</v>
      </c>
      <c r="R7" s="20">
        <f t="shared" si="3"/>
        <v>2.0000000135041773E-2</v>
      </c>
      <c r="S7" s="20">
        <f t="shared" si="3"/>
        <v>0</v>
      </c>
      <c r="T7" t="s">
        <v>29</v>
      </c>
    </row>
    <row r="8" spans="1:20" x14ac:dyDescent="0.3">
      <c r="A8" s="18" t="s">
        <v>67</v>
      </c>
      <c r="B8" s="18"/>
      <c r="C8" s="20">
        <f>SUMIF(Book!$C:$C,$A8,Book!J:J)</f>
        <v>298675.38999999996</v>
      </c>
      <c r="D8" s="20">
        <f>SUMIF(Book!$C:$C,$A8,Book!L:L)</f>
        <v>53761.570000000007</v>
      </c>
      <c r="E8" s="20">
        <f>SUMIF(Book!$C:$C,$A8,Book!M:M)</f>
        <v>0</v>
      </c>
      <c r="F8" s="20">
        <f>SUMIF(Book!$C:$C,$A8,Book!N:N)</f>
        <v>0</v>
      </c>
      <c r="G8" s="20">
        <f>SUMIF(Book!$C:$C,$A8,Book!O:O)</f>
        <v>0</v>
      </c>
      <c r="H8" s="20"/>
      <c r="I8" s="20">
        <f>SUMIF('GSTR-2B'!$C:$C,$A8,'GSTR-2B'!J:J)</f>
        <v>271367.84999999998</v>
      </c>
      <c r="J8" s="20">
        <f>SUMIF('GSTR-2B'!$C:$C,$A8,'GSTR-2B'!L:L)</f>
        <v>48846.210000000006</v>
      </c>
      <c r="K8" s="20">
        <f>SUMIF('GSTR-2B'!$C:$C,$A8,'GSTR-2B'!M:M)</f>
        <v>0</v>
      </c>
      <c r="L8" s="20">
        <f>SUMIF('GSTR-2B'!$C:$C,$A8,'GSTR-2B'!N:N)</f>
        <v>0</v>
      </c>
      <c r="M8" s="20">
        <f>SUMIF('GSTR-2B'!$C:$C,$A8,'GSTR-2B'!O:O)</f>
        <v>0</v>
      </c>
      <c r="N8" s="20"/>
      <c r="O8" s="20">
        <f t="shared" si="0"/>
        <v>27307.539999999979</v>
      </c>
      <c r="P8" s="20">
        <f t="shared" si="1"/>
        <v>4915.3600000000006</v>
      </c>
      <c r="Q8" s="20">
        <f t="shared" si="2"/>
        <v>0</v>
      </c>
      <c r="R8" s="20">
        <f t="shared" si="3"/>
        <v>0</v>
      </c>
      <c r="S8" s="20">
        <f t="shared" si="3"/>
        <v>0</v>
      </c>
      <c r="T8" t="s">
        <v>30</v>
      </c>
    </row>
    <row r="9" spans="1:20" x14ac:dyDescent="0.3">
      <c r="A9" s="18" t="s">
        <v>68</v>
      </c>
      <c r="B9" s="18"/>
      <c r="C9" s="20">
        <f>SUMIF(Book!$C:$C,$A9,Book!J:J)</f>
        <v>2568629.9600000004</v>
      </c>
      <c r="D9" s="20">
        <f>SUMIF(Book!$C:$C,$A9,Book!L:L)</f>
        <v>0</v>
      </c>
      <c r="E9" s="20">
        <f>SUMIF(Book!$C:$C,$A9,Book!M:M)</f>
        <v>231176.7</v>
      </c>
      <c r="F9" s="20">
        <f>SUMIF(Book!$C:$C,$A9,Book!N:N)</f>
        <v>231176.7</v>
      </c>
      <c r="G9" s="20">
        <f>SUMIF(Book!$C:$C,$A9,Book!O:O)</f>
        <v>0</v>
      </c>
      <c r="H9" s="20"/>
      <c r="I9" s="20">
        <f>SUMIF('GSTR-2B'!$C:$C,$A9,'GSTR-2B'!J:J)</f>
        <v>2568629.9500000002</v>
      </c>
      <c r="J9" s="20">
        <f>SUMIF('GSTR-2B'!$C:$C,$A9,'GSTR-2B'!L:L)</f>
        <v>0</v>
      </c>
      <c r="K9" s="20">
        <f>SUMIF('GSTR-2B'!$C:$C,$A9,'GSTR-2B'!M:M)</f>
        <v>231176.70999999996</v>
      </c>
      <c r="L9" s="20">
        <f>SUMIF('GSTR-2B'!$C:$C,$A9,'GSTR-2B'!N:N)</f>
        <v>231176.70999999996</v>
      </c>
      <c r="M9" s="20">
        <f>SUMIF('GSTR-2B'!$C:$C,$A9,'GSTR-2B'!O:O)</f>
        <v>0</v>
      </c>
      <c r="N9" s="20"/>
      <c r="O9" s="20">
        <f t="shared" si="0"/>
        <v>1.0000000242143869E-2</v>
      </c>
      <c r="P9" s="20">
        <f t="shared" si="1"/>
        <v>0</v>
      </c>
      <c r="Q9" s="20">
        <f t="shared" si="2"/>
        <v>-9.9999999511055648E-3</v>
      </c>
      <c r="R9" s="20">
        <f t="shared" si="3"/>
        <v>-9.9999999511055648E-3</v>
      </c>
      <c r="S9" s="20">
        <f t="shared" si="3"/>
        <v>0</v>
      </c>
      <c r="T9" t="s">
        <v>29</v>
      </c>
    </row>
    <row r="10" spans="1:20" x14ac:dyDescent="0.3">
      <c r="A10" s="18" t="s">
        <v>69</v>
      </c>
      <c r="B10" s="18"/>
      <c r="C10" s="20">
        <f>SUMIF(Book!$C:$C,$A10,Book!J:J)</f>
        <v>6241916.9799999995</v>
      </c>
      <c r="D10" s="20">
        <f>SUMIF(Book!$C:$C,$A10,Book!L:L)</f>
        <v>0</v>
      </c>
      <c r="E10" s="20">
        <f>SUMIF(Book!$C:$C,$A10,Book!M:M)</f>
        <v>561772.53</v>
      </c>
      <c r="F10" s="20">
        <f>SUMIF(Book!$C:$C,$A10,Book!N:N)</f>
        <v>561772.53</v>
      </c>
      <c r="G10" s="20">
        <f>SUMIF(Book!$C:$C,$A10,Book!O:O)</f>
        <v>0</v>
      </c>
      <c r="H10" s="20"/>
      <c r="I10" s="20">
        <f>SUMIF('GSTR-2B'!$C:$C,$A10,'GSTR-2B'!J:J)</f>
        <v>6241916.9799999995</v>
      </c>
      <c r="J10" s="20">
        <f>SUMIF('GSTR-2B'!$C:$C,$A10,'GSTR-2B'!L:L)</f>
        <v>0</v>
      </c>
      <c r="K10" s="20">
        <f>SUMIF('GSTR-2B'!$C:$C,$A10,'GSTR-2B'!M:M)</f>
        <v>561772.53</v>
      </c>
      <c r="L10" s="20">
        <f>SUMIF('GSTR-2B'!$C:$C,$A10,'GSTR-2B'!N:N)</f>
        <v>561772.53</v>
      </c>
      <c r="M10" s="20">
        <f>SUMIF('GSTR-2B'!$C:$C,$A10,'GSTR-2B'!O:O)</f>
        <v>0</v>
      </c>
      <c r="N10" s="20"/>
      <c r="O10" s="20">
        <f t="shared" si="0"/>
        <v>0</v>
      </c>
      <c r="P10" s="20">
        <f t="shared" si="1"/>
        <v>0</v>
      </c>
      <c r="Q10" s="20">
        <f t="shared" si="2"/>
        <v>0</v>
      </c>
      <c r="R10" s="20">
        <f t="shared" si="3"/>
        <v>0</v>
      </c>
      <c r="S10" s="20">
        <f t="shared" si="3"/>
        <v>0</v>
      </c>
      <c r="T10" t="s">
        <v>29</v>
      </c>
    </row>
    <row r="11" spans="1:20" x14ac:dyDescent="0.3">
      <c r="A11" s="18" t="s">
        <v>70</v>
      </c>
      <c r="B11" s="18"/>
      <c r="C11" s="20">
        <f>SUMIF(Book!$C:$C,$A11,Book!J:J)</f>
        <v>102151</v>
      </c>
      <c r="D11" s="20">
        <f>SUMIF(Book!$C:$C,$A11,Book!L:L)</f>
        <v>18387.18</v>
      </c>
      <c r="E11" s="20">
        <f>SUMIF(Book!$C:$C,$A11,Book!M:M)</f>
        <v>0</v>
      </c>
      <c r="F11" s="20">
        <f>SUMIF(Book!$C:$C,$A11,Book!N:N)</f>
        <v>0</v>
      </c>
      <c r="G11" s="20">
        <f>SUMIF(Book!$C:$C,$A11,Book!O:O)</f>
        <v>0</v>
      </c>
      <c r="H11" s="20"/>
      <c r="I11" s="20">
        <f>SUMIF('GSTR-2B'!$C:$C,$A11,'GSTR-2B'!J:J)</f>
        <v>102151</v>
      </c>
      <c r="J11" s="20">
        <f>SUMIF('GSTR-2B'!$C:$C,$A11,'GSTR-2B'!L:L)</f>
        <v>18387.18</v>
      </c>
      <c r="K11" s="20">
        <f>SUMIF('GSTR-2B'!$C:$C,$A11,'GSTR-2B'!M:M)</f>
        <v>0</v>
      </c>
      <c r="L11" s="20">
        <f>SUMIF('GSTR-2B'!$C:$C,$A11,'GSTR-2B'!N:N)</f>
        <v>0</v>
      </c>
      <c r="M11" s="20">
        <f>SUMIF('GSTR-2B'!$C:$C,$A11,'GSTR-2B'!O:O)</f>
        <v>0</v>
      </c>
      <c r="N11" s="20"/>
      <c r="O11" s="20">
        <f t="shared" si="0"/>
        <v>0</v>
      </c>
      <c r="P11" s="20">
        <f t="shared" si="1"/>
        <v>0</v>
      </c>
      <c r="Q11" s="20">
        <f t="shared" si="2"/>
        <v>0</v>
      </c>
      <c r="R11" s="20">
        <f t="shared" si="3"/>
        <v>0</v>
      </c>
      <c r="S11" s="20">
        <f t="shared" si="3"/>
        <v>0</v>
      </c>
      <c r="T11" t="s">
        <v>29</v>
      </c>
    </row>
    <row r="12" spans="1:20" x14ac:dyDescent="0.3">
      <c r="A12" s="18" t="s">
        <v>71</v>
      </c>
      <c r="B12" s="18"/>
      <c r="C12" s="20">
        <f>SUMIF(Book!$C:$C,$A12,Book!J:J)</f>
        <v>40216877.200000003</v>
      </c>
      <c r="D12" s="20">
        <f>SUMIF(Book!$C:$C,$A12,Book!L:L)</f>
        <v>7239037.9000000004</v>
      </c>
      <c r="E12" s="20">
        <f>SUMIF(Book!$C:$C,$A12,Book!M:M)</f>
        <v>0</v>
      </c>
      <c r="F12" s="20">
        <f>SUMIF(Book!$C:$C,$A12,Book!N:N)</f>
        <v>0</v>
      </c>
      <c r="G12" s="20">
        <f>SUMIF(Book!$C:$C,$A12,Book!O:O)</f>
        <v>0</v>
      </c>
      <c r="H12" s="20"/>
      <c r="I12" s="20">
        <f>SUMIF('GSTR-2B'!$C:$C,$A12,'GSTR-2B'!J:J)</f>
        <v>40216877.200000003</v>
      </c>
      <c r="J12" s="20">
        <f>SUMIF('GSTR-2B'!$C:$C,$A12,'GSTR-2B'!L:L)</f>
        <v>7239037.9000000004</v>
      </c>
      <c r="K12" s="20">
        <f>SUMIF('GSTR-2B'!$C:$C,$A12,'GSTR-2B'!M:M)</f>
        <v>0</v>
      </c>
      <c r="L12" s="20">
        <f>SUMIF('GSTR-2B'!$C:$C,$A12,'GSTR-2B'!N:N)</f>
        <v>0</v>
      </c>
      <c r="M12" s="20">
        <f>SUMIF('GSTR-2B'!$C:$C,$A12,'GSTR-2B'!O:O)</f>
        <v>0</v>
      </c>
      <c r="N12" s="20"/>
      <c r="O12" s="20">
        <f t="shared" si="0"/>
        <v>0</v>
      </c>
      <c r="P12" s="20">
        <f t="shared" si="1"/>
        <v>0</v>
      </c>
      <c r="Q12" s="20">
        <f t="shared" si="2"/>
        <v>0</v>
      </c>
      <c r="R12" s="20">
        <f t="shared" si="3"/>
        <v>0</v>
      </c>
      <c r="S12" s="20">
        <f t="shared" si="3"/>
        <v>0</v>
      </c>
      <c r="T12" t="s">
        <v>29</v>
      </c>
    </row>
    <row r="13" spans="1:20" x14ac:dyDescent="0.3">
      <c r="A13" s="18" t="s">
        <v>72</v>
      </c>
      <c r="B13" s="18"/>
      <c r="C13" s="20">
        <f>SUMIF(Book!$C:$C,$A13,Book!J:J)</f>
        <v>3376484.09</v>
      </c>
      <c r="D13" s="20">
        <f>SUMIF(Book!$C:$C,$A13,Book!L:L)</f>
        <v>0</v>
      </c>
      <c r="E13" s="20">
        <f>SUMIF(Book!$C:$C,$A13,Book!M:M)</f>
        <v>303883.57</v>
      </c>
      <c r="F13" s="20">
        <f>SUMIF(Book!$C:$C,$A13,Book!N:N)</f>
        <v>303883.57</v>
      </c>
      <c r="G13" s="20">
        <f>SUMIF(Book!$C:$C,$A13,Book!O:O)</f>
        <v>0</v>
      </c>
      <c r="H13" s="20"/>
      <c r="I13" s="20">
        <f>SUMIF('GSTR-2B'!$C:$C,$A13,'GSTR-2B'!J:J)</f>
        <v>3376484.09</v>
      </c>
      <c r="J13" s="20">
        <f>SUMIF('GSTR-2B'!$C:$C,$A13,'GSTR-2B'!L:L)</f>
        <v>0</v>
      </c>
      <c r="K13" s="20">
        <f>SUMIF('GSTR-2B'!$C:$C,$A13,'GSTR-2B'!M:M)</f>
        <v>303883.57</v>
      </c>
      <c r="L13" s="20">
        <f>SUMIF('GSTR-2B'!$C:$C,$A13,'GSTR-2B'!N:N)</f>
        <v>303883.57</v>
      </c>
      <c r="M13" s="20">
        <f>SUMIF('GSTR-2B'!$C:$C,$A13,'GSTR-2B'!O:O)</f>
        <v>0</v>
      </c>
      <c r="N13" s="20"/>
      <c r="O13" s="20">
        <f t="shared" si="0"/>
        <v>0</v>
      </c>
      <c r="P13" s="20">
        <f t="shared" si="1"/>
        <v>0</v>
      </c>
      <c r="Q13" s="20">
        <f t="shared" si="2"/>
        <v>0</v>
      </c>
      <c r="R13" s="20">
        <f t="shared" si="3"/>
        <v>0</v>
      </c>
      <c r="S13" s="20">
        <f t="shared" si="3"/>
        <v>0</v>
      </c>
      <c r="T13" t="s">
        <v>29</v>
      </c>
    </row>
    <row r="14" spans="1:20" x14ac:dyDescent="0.3">
      <c r="A14" s="18" t="s">
        <v>73</v>
      </c>
      <c r="B14" s="18"/>
      <c r="C14" s="20">
        <f>SUMIF(Book!$C:$C,$A14,Book!J:J)</f>
        <v>3445717.1199999996</v>
      </c>
      <c r="D14" s="20">
        <f>SUMIF(Book!$C:$C,$A14,Book!L:L)</f>
        <v>620232.1</v>
      </c>
      <c r="E14" s="20">
        <f>SUMIF(Book!$C:$C,$A14,Book!M:M)</f>
        <v>0</v>
      </c>
      <c r="F14" s="20">
        <f>SUMIF(Book!$C:$C,$A14,Book!N:N)</f>
        <v>0</v>
      </c>
      <c r="G14" s="20">
        <f>SUMIF(Book!$C:$C,$A14,Book!O:O)</f>
        <v>0</v>
      </c>
      <c r="H14" s="20"/>
      <c r="I14" s="20">
        <f>SUMIF('GSTR-2B'!$C:$C,$A14,'GSTR-2B'!J:J)</f>
        <v>3445717.12</v>
      </c>
      <c r="J14" s="20">
        <f>SUMIF('GSTR-2B'!$C:$C,$A14,'GSTR-2B'!L:L)</f>
        <v>620232.1</v>
      </c>
      <c r="K14" s="20">
        <f>SUMIF('GSTR-2B'!$C:$C,$A14,'GSTR-2B'!M:M)</f>
        <v>0</v>
      </c>
      <c r="L14" s="20">
        <f>SUMIF('GSTR-2B'!$C:$C,$A14,'GSTR-2B'!N:N)</f>
        <v>0</v>
      </c>
      <c r="M14" s="20">
        <f>SUMIF('GSTR-2B'!$C:$C,$A14,'GSTR-2B'!O:O)</f>
        <v>0</v>
      </c>
      <c r="N14" s="20"/>
      <c r="O14" s="20">
        <f t="shared" si="0"/>
        <v>0</v>
      </c>
      <c r="P14" s="20">
        <f t="shared" si="1"/>
        <v>0</v>
      </c>
      <c r="Q14" s="20">
        <f t="shared" si="2"/>
        <v>0</v>
      </c>
      <c r="R14" s="20">
        <f t="shared" si="3"/>
        <v>0</v>
      </c>
      <c r="S14" s="20">
        <f t="shared" si="3"/>
        <v>0</v>
      </c>
      <c r="T14" t="s">
        <v>29</v>
      </c>
    </row>
    <row r="15" spans="1:20" x14ac:dyDescent="0.3">
      <c r="A15" s="18" t="s">
        <v>74</v>
      </c>
      <c r="B15" s="18"/>
      <c r="C15" s="20">
        <f>SUMIF(Book!$C:$C,$A15,Book!J:J)</f>
        <v>211365675.44999999</v>
      </c>
      <c r="D15" s="20">
        <f>SUMIF(Book!$C:$C,$A15,Book!L:L)</f>
        <v>38045821.57</v>
      </c>
      <c r="E15" s="20">
        <f>SUMIF(Book!$C:$C,$A15,Book!M:M)</f>
        <v>0</v>
      </c>
      <c r="F15" s="20">
        <f>SUMIF(Book!$C:$C,$A15,Book!N:N)</f>
        <v>0</v>
      </c>
      <c r="G15" s="20">
        <f>SUMIF(Book!$C:$C,$A15,Book!O:O)</f>
        <v>0</v>
      </c>
      <c r="H15" s="20"/>
      <c r="I15" s="20">
        <f>SUMIF('GSTR-2B'!$C:$C,$A15,'GSTR-2B'!J:J)</f>
        <v>211365675.44999999</v>
      </c>
      <c r="J15" s="20">
        <f>SUMIF('GSTR-2B'!$C:$C,$A15,'GSTR-2B'!L:L)</f>
        <v>38045821.590000004</v>
      </c>
      <c r="K15" s="20">
        <f>SUMIF('GSTR-2B'!$C:$C,$A15,'GSTR-2B'!M:M)</f>
        <v>0</v>
      </c>
      <c r="L15" s="20">
        <f>SUMIF('GSTR-2B'!$C:$C,$A15,'GSTR-2B'!N:N)</f>
        <v>0</v>
      </c>
      <c r="M15" s="20">
        <f>SUMIF('GSTR-2B'!$C:$C,$A15,'GSTR-2B'!O:O)</f>
        <v>0</v>
      </c>
      <c r="N15" s="20"/>
      <c r="O15" s="20">
        <f t="shared" si="0"/>
        <v>0</v>
      </c>
      <c r="P15" s="20">
        <f t="shared" si="1"/>
        <v>-2.0000003278255463E-2</v>
      </c>
      <c r="Q15" s="20">
        <f t="shared" si="2"/>
        <v>0</v>
      </c>
      <c r="R15" s="20">
        <f t="shared" si="3"/>
        <v>0</v>
      </c>
      <c r="S15" s="20">
        <f t="shared" si="3"/>
        <v>0</v>
      </c>
      <c r="T15" t="s">
        <v>29</v>
      </c>
    </row>
    <row r="16" spans="1:20" x14ac:dyDescent="0.3">
      <c r="A16" s="18" t="s">
        <v>75</v>
      </c>
      <c r="B16" s="18"/>
      <c r="C16" s="20">
        <f>SUMIF(Book!$C:$C,$A16,Book!J:J)</f>
        <v>255000</v>
      </c>
      <c r="D16" s="20">
        <f>SUMIF(Book!$C:$C,$A16,Book!L:L)</f>
        <v>45900</v>
      </c>
      <c r="E16" s="20">
        <f>SUMIF(Book!$C:$C,$A16,Book!M:M)</f>
        <v>0</v>
      </c>
      <c r="F16" s="20">
        <f>SUMIF(Book!$C:$C,$A16,Book!N:N)</f>
        <v>0</v>
      </c>
      <c r="G16" s="20">
        <f>SUMIF(Book!$C:$C,$A16,Book!O:O)</f>
        <v>0</v>
      </c>
      <c r="H16" s="20"/>
      <c r="I16" s="20">
        <f>SUMIF('GSTR-2B'!$C:$C,$A16,'GSTR-2B'!J:J)</f>
        <v>180000</v>
      </c>
      <c r="J16" s="20">
        <f>SUMIF('GSTR-2B'!$C:$C,$A16,'GSTR-2B'!L:L)</f>
        <v>32400</v>
      </c>
      <c r="K16" s="20">
        <f>SUMIF('GSTR-2B'!$C:$C,$A16,'GSTR-2B'!M:M)</f>
        <v>0</v>
      </c>
      <c r="L16" s="20">
        <f>SUMIF('GSTR-2B'!$C:$C,$A16,'GSTR-2B'!N:N)</f>
        <v>0</v>
      </c>
      <c r="M16" s="20">
        <f>SUMIF('GSTR-2B'!$C:$C,$A16,'GSTR-2B'!O:O)</f>
        <v>0</v>
      </c>
      <c r="N16" s="20"/>
      <c r="O16" s="20">
        <f t="shared" si="0"/>
        <v>75000</v>
      </c>
      <c r="P16" s="20">
        <f t="shared" si="1"/>
        <v>13500</v>
      </c>
      <c r="Q16" s="20">
        <f t="shared" si="2"/>
        <v>0</v>
      </c>
      <c r="R16" s="20">
        <f t="shared" si="3"/>
        <v>0</v>
      </c>
      <c r="S16" s="20">
        <f t="shared" si="3"/>
        <v>0</v>
      </c>
      <c r="T16" t="s">
        <v>30</v>
      </c>
    </row>
    <row r="17" spans="1:20" x14ac:dyDescent="0.3">
      <c r="A17" s="18" t="s">
        <v>76</v>
      </c>
      <c r="B17" s="18"/>
      <c r="C17" s="20">
        <f>SUMIF(Book!$C:$C,$A17,Book!J:J)</f>
        <v>3280397.4299999997</v>
      </c>
      <c r="D17" s="20">
        <f>SUMIF(Book!$C:$C,$A17,Book!L:L)</f>
        <v>590471.54</v>
      </c>
      <c r="E17" s="20">
        <f>SUMIF(Book!$C:$C,$A17,Book!M:M)</f>
        <v>0</v>
      </c>
      <c r="F17" s="20">
        <f>SUMIF(Book!$C:$C,$A17,Book!N:N)</f>
        <v>0</v>
      </c>
      <c r="G17" s="20">
        <f>SUMIF(Book!$C:$C,$A17,Book!O:O)</f>
        <v>0</v>
      </c>
      <c r="H17" s="20"/>
      <c r="I17" s="20">
        <f>SUMIF('GSTR-2B'!$C:$C,$A17,'GSTR-2B'!J:J)</f>
        <v>3280397.4299999997</v>
      </c>
      <c r="J17" s="20">
        <f>SUMIF('GSTR-2B'!$C:$C,$A17,'GSTR-2B'!L:L)</f>
        <v>590471.54</v>
      </c>
      <c r="K17" s="20">
        <f>SUMIF('GSTR-2B'!$C:$C,$A17,'GSTR-2B'!M:M)</f>
        <v>0</v>
      </c>
      <c r="L17" s="20">
        <f>SUMIF('GSTR-2B'!$C:$C,$A17,'GSTR-2B'!N:N)</f>
        <v>0</v>
      </c>
      <c r="M17" s="20">
        <f>SUMIF('GSTR-2B'!$C:$C,$A17,'GSTR-2B'!O:O)</f>
        <v>0</v>
      </c>
      <c r="N17" s="20"/>
      <c r="O17" s="20">
        <f t="shared" si="0"/>
        <v>0</v>
      </c>
      <c r="P17" s="20">
        <f t="shared" si="1"/>
        <v>0</v>
      </c>
      <c r="Q17" s="20">
        <f t="shared" si="2"/>
        <v>0</v>
      </c>
      <c r="R17" s="20">
        <f t="shared" si="3"/>
        <v>0</v>
      </c>
      <c r="S17" s="20">
        <f t="shared" si="3"/>
        <v>0</v>
      </c>
      <c r="T17" t="s">
        <v>29</v>
      </c>
    </row>
    <row r="18" spans="1:20" x14ac:dyDescent="0.3">
      <c r="A18" s="18" t="s">
        <v>77</v>
      </c>
      <c r="B18" s="18"/>
      <c r="C18" s="20">
        <f>SUMIF(Book!$C:$C,$A18,Book!J:J)</f>
        <v>648.92000000000007</v>
      </c>
      <c r="D18" s="20">
        <f>SUMIF(Book!$C:$C,$A18,Book!L:L)</f>
        <v>116.81</v>
      </c>
      <c r="E18" s="20">
        <f>SUMIF(Book!$C:$C,$A18,Book!M:M)</f>
        <v>0</v>
      </c>
      <c r="F18" s="20">
        <f>SUMIF(Book!$C:$C,$A18,Book!N:N)</f>
        <v>0</v>
      </c>
      <c r="G18" s="20">
        <f>SUMIF(Book!$C:$C,$A18,Book!O:O)</f>
        <v>0</v>
      </c>
      <c r="H18" s="20"/>
      <c r="I18" s="20">
        <f>SUMIF('GSTR-2B'!$C:$C,$A18,'GSTR-2B'!J:J)</f>
        <v>648.92000000000007</v>
      </c>
      <c r="J18" s="20">
        <f>SUMIF('GSTR-2B'!$C:$C,$A18,'GSTR-2B'!L:L)</f>
        <v>116.81</v>
      </c>
      <c r="K18" s="20">
        <f>SUMIF('GSTR-2B'!$C:$C,$A18,'GSTR-2B'!M:M)</f>
        <v>0</v>
      </c>
      <c r="L18" s="20">
        <f>SUMIF('GSTR-2B'!$C:$C,$A18,'GSTR-2B'!N:N)</f>
        <v>0</v>
      </c>
      <c r="M18" s="20">
        <f>SUMIF('GSTR-2B'!$C:$C,$A18,'GSTR-2B'!O:O)</f>
        <v>0</v>
      </c>
      <c r="N18" s="20"/>
      <c r="O18" s="20">
        <f t="shared" si="0"/>
        <v>0</v>
      </c>
      <c r="P18" s="20">
        <f t="shared" si="1"/>
        <v>0</v>
      </c>
      <c r="Q18" s="20">
        <f t="shared" si="2"/>
        <v>0</v>
      </c>
      <c r="R18" s="20">
        <f t="shared" si="3"/>
        <v>0</v>
      </c>
      <c r="S18" s="20">
        <f t="shared" si="3"/>
        <v>0</v>
      </c>
      <c r="T18" t="s">
        <v>29</v>
      </c>
    </row>
    <row r="19" spans="1:20" x14ac:dyDescent="0.3">
      <c r="A19" s="18" t="s">
        <v>78</v>
      </c>
      <c r="B19" s="18"/>
      <c r="C19" s="20">
        <f>SUMIF(Book!$C:$C,$A19,Book!J:J)</f>
        <v>5266.04</v>
      </c>
      <c r="D19" s="20">
        <f>SUMIF(Book!$C:$C,$A19,Book!L:L)</f>
        <v>0</v>
      </c>
      <c r="E19" s="20">
        <f>SUMIF(Book!$C:$C,$A19,Book!M:M)</f>
        <v>473.95000000000005</v>
      </c>
      <c r="F19" s="20">
        <f>SUMIF(Book!$C:$C,$A19,Book!N:N)</f>
        <v>473.95000000000005</v>
      </c>
      <c r="G19" s="20">
        <f>SUMIF(Book!$C:$C,$A19,Book!O:O)</f>
        <v>0</v>
      </c>
      <c r="H19" s="20"/>
      <c r="I19" s="20">
        <f>SUMIF('GSTR-2B'!$C:$C,$A19,'GSTR-2B'!J:J)</f>
        <v>5266.04</v>
      </c>
      <c r="J19" s="20">
        <f>SUMIF('GSTR-2B'!$C:$C,$A19,'GSTR-2B'!L:L)</f>
        <v>0</v>
      </c>
      <c r="K19" s="20">
        <f>SUMIF('GSTR-2B'!$C:$C,$A19,'GSTR-2B'!M:M)</f>
        <v>473.95000000000005</v>
      </c>
      <c r="L19" s="20">
        <f>SUMIF('GSTR-2B'!$C:$C,$A19,'GSTR-2B'!N:N)</f>
        <v>473.95000000000005</v>
      </c>
      <c r="M19" s="20">
        <f>SUMIF('GSTR-2B'!$C:$C,$A19,'GSTR-2B'!O:O)</f>
        <v>0</v>
      </c>
      <c r="N19" s="20"/>
      <c r="O19" s="20">
        <f t="shared" si="0"/>
        <v>0</v>
      </c>
      <c r="P19" s="20">
        <f t="shared" si="1"/>
        <v>0</v>
      </c>
      <c r="Q19" s="20">
        <f t="shared" si="2"/>
        <v>0</v>
      </c>
      <c r="R19" s="20">
        <f t="shared" si="3"/>
        <v>0</v>
      </c>
      <c r="S19" s="20">
        <f t="shared" si="3"/>
        <v>0</v>
      </c>
      <c r="T19" t="s">
        <v>29</v>
      </c>
    </row>
    <row r="20" spans="1:20" x14ac:dyDescent="0.3">
      <c r="A20" s="18" t="s">
        <v>79</v>
      </c>
      <c r="B20" s="18"/>
      <c r="C20" s="20">
        <f>SUMIF(Book!$C:$C,$A20,Book!J:J)</f>
        <v>5000</v>
      </c>
      <c r="D20" s="20">
        <f>SUMIF(Book!$C:$C,$A20,Book!L:L)</f>
        <v>0</v>
      </c>
      <c r="E20" s="20">
        <f>SUMIF(Book!$C:$C,$A20,Book!M:M)</f>
        <v>450</v>
      </c>
      <c r="F20" s="20">
        <f>SUMIF(Book!$C:$C,$A20,Book!N:N)</f>
        <v>450</v>
      </c>
      <c r="G20" s="20">
        <f>SUMIF(Book!$C:$C,$A20,Book!O:O)</f>
        <v>0</v>
      </c>
      <c r="H20" s="20"/>
      <c r="I20" s="20">
        <f>SUMIF('GSTR-2B'!$C:$C,$A20,'GSTR-2B'!J:J)</f>
        <v>5000</v>
      </c>
      <c r="J20" s="20">
        <f>SUMIF('GSTR-2B'!$C:$C,$A20,'GSTR-2B'!L:L)</f>
        <v>0</v>
      </c>
      <c r="K20" s="20">
        <f>SUMIF('GSTR-2B'!$C:$C,$A20,'GSTR-2B'!M:M)</f>
        <v>450</v>
      </c>
      <c r="L20" s="20">
        <f>SUMIF('GSTR-2B'!$C:$C,$A20,'GSTR-2B'!N:N)</f>
        <v>450</v>
      </c>
      <c r="M20" s="20">
        <f>SUMIF('GSTR-2B'!$C:$C,$A20,'GSTR-2B'!O:O)</f>
        <v>0</v>
      </c>
      <c r="N20" s="20"/>
      <c r="O20" s="20">
        <f t="shared" si="0"/>
        <v>0</v>
      </c>
      <c r="P20" s="20">
        <f t="shared" si="1"/>
        <v>0</v>
      </c>
      <c r="Q20" s="20">
        <f t="shared" si="2"/>
        <v>0</v>
      </c>
      <c r="R20" s="20">
        <f t="shared" si="3"/>
        <v>0</v>
      </c>
      <c r="S20" s="20">
        <f t="shared" si="3"/>
        <v>0</v>
      </c>
      <c r="T20" t="s">
        <v>29</v>
      </c>
    </row>
    <row r="21" spans="1:20" x14ac:dyDescent="0.3">
      <c r="A21" s="18" t="s">
        <v>80</v>
      </c>
      <c r="B21" s="18"/>
      <c r="C21" s="20">
        <f>SUMIF(Book!$C:$C,$A21,Book!J:J)</f>
        <v>306250</v>
      </c>
      <c r="D21" s="20">
        <f>SUMIF(Book!$C:$C,$A21,Book!L:L)</f>
        <v>0</v>
      </c>
      <c r="E21" s="20">
        <f>SUMIF(Book!$C:$C,$A21,Book!M:M)</f>
        <v>27565</v>
      </c>
      <c r="F21" s="20">
        <f>SUMIF(Book!$C:$C,$A21,Book!N:N)</f>
        <v>27565</v>
      </c>
      <c r="G21" s="20">
        <f>SUMIF(Book!$C:$C,$A21,Book!O:O)</f>
        <v>0</v>
      </c>
      <c r="H21" s="20"/>
      <c r="I21" s="20">
        <f>SUMIF('GSTR-2B'!$C:$C,$A21,'GSTR-2B'!J:J)</f>
        <v>306250</v>
      </c>
      <c r="J21" s="20">
        <f>SUMIF('GSTR-2B'!$C:$C,$A21,'GSTR-2B'!L:L)</f>
        <v>0</v>
      </c>
      <c r="K21" s="20">
        <f>SUMIF('GSTR-2B'!$C:$C,$A21,'GSTR-2B'!M:M)</f>
        <v>27562.5</v>
      </c>
      <c r="L21" s="20">
        <f>SUMIF('GSTR-2B'!$C:$C,$A21,'GSTR-2B'!N:N)</f>
        <v>27562.5</v>
      </c>
      <c r="M21" s="20">
        <f>SUMIF('GSTR-2B'!$C:$C,$A21,'GSTR-2B'!O:O)</f>
        <v>0</v>
      </c>
      <c r="N21" s="20"/>
      <c r="O21" s="20">
        <f t="shared" si="0"/>
        <v>0</v>
      </c>
      <c r="P21" s="20">
        <f t="shared" si="1"/>
        <v>0</v>
      </c>
      <c r="Q21" s="20">
        <f t="shared" si="2"/>
        <v>2.5</v>
      </c>
      <c r="R21" s="20">
        <f t="shared" si="3"/>
        <v>2.5</v>
      </c>
      <c r="S21" s="20">
        <f t="shared" si="3"/>
        <v>0</v>
      </c>
      <c r="T21" t="s">
        <v>29</v>
      </c>
    </row>
    <row r="22" spans="1:20" x14ac:dyDescent="0.3">
      <c r="A22" s="18" t="s">
        <v>81</v>
      </c>
      <c r="B22" s="18"/>
      <c r="C22" s="20">
        <f>SUMIF(Book!$C:$C,$A22,Book!J:J)</f>
        <v>8100</v>
      </c>
      <c r="D22" s="20">
        <f>SUMIF(Book!$C:$C,$A22,Book!L:L)</f>
        <v>0</v>
      </c>
      <c r="E22" s="20">
        <f>SUMIF(Book!$C:$C,$A22,Book!M:M)</f>
        <v>729</v>
      </c>
      <c r="F22" s="20">
        <f>SUMIF(Book!$C:$C,$A22,Book!N:N)</f>
        <v>729</v>
      </c>
      <c r="G22" s="20">
        <f>SUMIF(Book!$C:$C,$A22,Book!O:O)</f>
        <v>0</v>
      </c>
      <c r="H22" s="20"/>
      <c r="I22" s="20">
        <f>SUMIF('GSTR-2B'!$C:$C,$A22,'GSTR-2B'!J:J)</f>
        <v>8100</v>
      </c>
      <c r="J22" s="20">
        <f>SUMIF('GSTR-2B'!$C:$C,$A22,'GSTR-2B'!L:L)</f>
        <v>0</v>
      </c>
      <c r="K22" s="20">
        <f>SUMIF('GSTR-2B'!$C:$C,$A22,'GSTR-2B'!M:M)</f>
        <v>729</v>
      </c>
      <c r="L22" s="20">
        <f>SUMIF('GSTR-2B'!$C:$C,$A22,'GSTR-2B'!N:N)</f>
        <v>729</v>
      </c>
      <c r="M22" s="20">
        <f>SUMIF('GSTR-2B'!$C:$C,$A22,'GSTR-2B'!O:O)</f>
        <v>0</v>
      </c>
      <c r="N22" s="20"/>
      <c r="O22" s="20">
        <f t="shared" si="0"/>
        <v>0</v>
      </c>
      <c r="P22" s="20">
        <f t="shared" si="1"/>
        <v>0</v>
      </c>
      <c r="Q22" s="20">
        <f t="shared" si="2"/>
        <v>0</v>
      </c>
      <c r="R22" s="20">
        <f t="shared" si="3"/>
        <v>0</v>
      </c>
      <c r="S22" s="20">
        <f t="shared" si="3"/>
        <v>0</v>
      </c>
      <c r="T22" t="s">
        <v>29</v>
      </c>
    </row>
    <row r="23" spans="1:20" x14ac:dyDescent="0.3">
      <c r="A23" s="18" t="s">
        <v>82</v>
      </c>
      <c r="B23" s="18"/>
      <c r="C23" s="20">
        <f>SUMIF(Book!$C:$C,$A23,Book!J:J)</f>
        <v>7200</v>
      </c>
      <c r="D23" s="20">
        <f>SUMIF(Book!$C:$C,$A23,Book!L:L)</f>
        <v>0</v>
      </c>
      <c r="E23" s="20">
        <f>SUMIF(Book!$C:$C,$A23,Book!M:M)</f>
        <v>648</v>
      </c>
      <c r="F23" s="20">
        <f>SUMIF(Book!$C:$C,$A23,Book!N:N)</f>
        <v>648</v>
      </c>
      <c r="G23" s="20">
        <f>SUMIF(Book!$C:$C,$A23,Book!O:O)</f>
        <v>0</v>
      </c>
      <c r="H23" s="20"/>
      <c r="I23" s="20">
        <f>SUMIF('GSTR-2B'!$C:$C,$A23,'GSTR-2B'!J:J)</f>
        <v>7200</v>
      </c>
      <c r="J23" s="20">
        <f>SUMIF('GSTR-2B'!$C:$C,$A23,'GSTR-2B'!L:L)</f>
        <v>0</v>
      </c>
      <c r="K23" s="20">
        <f>SUMIF('GSTR-2B'!$C:$C,$A23,'GSTR-2B'!M:M)</f>
        <v>648</v>
      </c>
      <c r="L23" s="20">
        <f>SUMIF('GSTR-2B'!$C:$C,$A23,'GSTR-2B'!N:N)</f>
        <v>648</v>
      </c>
      <c r="M23" s="20">
        <f>SUMIF('GSTR-2B'!$C:$C,$A23,'GSTR-2B'!O:O)</f>
        <v>0</v>
      </c>
      <c r="N23" s="20"/>
      <c r="O23" s="20">
        <f t="shared" si="0"/>
        <v>0</v>
      </c>
      <c r="P23" s="20">
        <f t="shared" si="1"/>
        <v>0</v>
      </c>
      <c r="Q23" s="20">
        <f t="shared" si="2"/>
        <v>0</v>
      </c>
      <c r="R23" s="20">
        <f t="shared" si="3"/>
        <v>0</v>
      </c>
      <c r="S23" s="20">
        <f t="shared" si="3"/>
        <v>0</v>
      </c>
      <c r="T23" t="s">
        <v>29</v>
      </c>
    </row>
    <row r="24" spans="1:20" x14ac:dyDescent="0.3">
      <c r="A24" s="18" t="s">
        <v>83</v>
      </c>
      <c r="B24" s="18"/>
      <c r="C24" s="20">
        <f>SUMIF(Book!$C:$C,$A24,Book!J:J)</f>
        <v>8333</v>
      </c>
      <c r="D24" s="20">
        <f>SUMIF(Book!$C:$C,$A24,Book!L:L)</f>
        <v>0</v>
      </c>
      <c r="E24" s="20">
        <f>SUMIF(Book!$C:$C,$A24,Book!M:M)</f>
        <v>749.97</v>
      </c>
      <c r="F24" s="20">
        <f>SUMIF(Book!$C:$C,$A24,Book!N:N)</f>
        <v>749.97</v>
      </c>
      <c r="G24" s="20">
        <f>SUMIF(Book!$C:$C,$A24,Book!O:O)</f>
        <v>0</v>
      </c>
      <c r="H24" s="20"/>
      <c r="I24" s="20">
        <f>SUMIF('GSTR-2B'!$C:$C,$A24,'GSTR-2B'!J:J)</f>
        <v>8333</v>
      </c>
      <c r="J24" s="20">
        <f>SUMIF('GSTR-2B'!$C:$C,$A24,'GSTR-2B'!L:L)</f>
        <v>0</v>
      </c>
      <c r="K24" s="20">
        <f>SUMIF('GSTR-2B'!$C:$C,$A24,'GSTR-2B'!M:M)</f>
        <v>749.97</v>
      </c>
      <c r="L24" s="20">
        <f>SUMIF('GSTR-2B'!$C:$C,$A24,'GSTR-2B'!N:N)</f>
        <v>749.97</v>
      </c>
      <c r="M24" s="20">
        <f>SUMIF('GSTR-2B'!$C:$C,$A24,'GSTR-2B'!O:O)</f>
        <v>0</v>
      </c>
      <c r="N24" s="20"/>
      <c r="O24" s="20">
        <f t="shared" si="0"/>
        <v>0</v>
      </c>
      <c r="P24" s="20">
        <f t="shared" si="1"/>
        <v>0</v>
      </c>
      <c r="Q24" s="20">
        <f t="shared" si="2"/>
        <v>0</v>
      </c>
      <c r="R24" s="20">
        <f t="shared" si="3"/>
        <v>0</v>
      </c>
      <c r="S24" s="20">
        <f t="shared" si="3"/>
        <v>0</v>
      </c>
      <c r="T24" t="s">
        <v>29</v>
      </c>
    </row>
    <row r="25" spans="1:20" x14ac:dyDescent="0.3">
      <c r="A25" s="18" t="s">
        <v>84</v>
      </c>
      <c r="B25" s="18"/>
      <c r="C25" s="20">
        <f>SUMIF(Book!$C:$C,$A25,Book!J:J)</f>
        <v>17916.669999999998</v>
      </c>
      <c r="D25" s="20">
        <f>SUMIF(Book!$C:$C,$A25,Book!L:L)</f>
        <v>0</v>
      </c>
      <c r="E25" s="20">
        <f>SUMIF(Book!$C:$C,$A25,Book!M:M)</f>
        <v>1612.5</v>
      </c>
      <c r="F25" s="20">
        <f>SUMIF(Book!$C:$C,$A25,Book!N:N)</f>
        <v>1612.5</v>
      </c>
      <c r="G25" s="20">
        <f>SUMIF(Book!$C:$C,$A25,Book!O:O)</f>
        <v>0</v>
      </c>
      <c r="H25" s="20"/>
      <c r="I25" s="20">
        <f>SUMIF('GSTR-2B'!$C:$C,$A25,'GSTR-2B'!J:J)</f>
        <v>17916.669999999998</v>
      </c>
      <c r="J25" s="20">
        <f>SUMIF('GSTR-2B'!$C:$C,$A25,'GSTR-2B'!L:L)</f>
        <v>0</v>
      </c>
      <c r="K25" s="20">
        <f>SUMIF('GSTR-2B'!$C:$C,$A25,'GSTR-2B'!M:M)</f>
        <v>1612.5</v>
      </c>
      <c r="L25" s="20">
        <f>SUMIF('GSTR-2B'!$C:$C,$A25,'GSTR-2B'!N:N)</f>
        <v>1612.5</v>
      </c>
      <c r="M25" s="20">
        <f>SUMIF('GSTR-2B'!$C:$C,$A25,'GSTR-2B'!O:O)</f>
        <v>0</v>
      </c>
      <c r="N25" s="20"/>
      <c r="O25" s="20">
        <f t="shared" si="0"/>
        <v>0</v>
      </c>
      <c r="P25" s="20">
        <f t="shared" si="1"/>
        <v>0</v>
      </c>
      <c r="Q25" s="20">
        <f t="shared" si="2"/>
        <v>0</v>
      </c>
      <c r="R25" s="20">
        <f t="shared" si="3"/>
        <v>0</v>
      </c>
      <c r="S25" s="20">
        <f t="shared" si="3"/>
        <v>0</v>
      </c>
      <c r="T25" t="s">
        <v>29</v>
      </c>
    </row>
    <row r="26" spans="1:20" x14ac:dyDescent="0.3">
      <c r="A26" s="18" t="s">
        <v>85</v>
      </c>
      <c r="B26" s="18"/>
      <c r="C26" s="20">
        <f>SUMIF(Book!$C:$C,$A26,Book!J:J)</f>
        <v>8650</v>
      </c>
      <c r="D26" s="20">
        <f>SUMIF(Book!$C:$C,$A26,Book!L:L)</f>
        <v>0</v>
      </c>
      <c r="E26" s="20">
        <f>SUMIF(Book!$C:$C,$A26,Book!M:M)</f>
        <v>778.5</v>
      </c>
      <c r="F26" s="20">
        <f>SUMIF(Book!$C:$C,$A26,Book!N:N)</f>
        <v>778.5</v>
      </c>
      <c r="G26" s="20">
        <f>SUMIF(Book!$C:$C,$A26,Book!O:O)</f>
        <v>0</v>
      </c>
      <c r="H26" s="20"/>
      <c r="I26" s="20">
        <f>SUMIF('GSTR-2B'!$C:$C,$A26,'GSTR-2B'!J:J)</f>
        <v>8650</v>
      </c>
      <c r="J26" s="20">
        <f>SUMIF('GSTR-2B'!$C:$C,$A26,'GSTR-2B'!L:L)</f>
        <v>0</v>
      </c>
      <c r="K26" s="20">
        <f>SUMIF('GSTR-2B'!$C:$C,$A26,'GSTR-2B'!M:M)</f>
        <v>778.5</v>
      </c>
      <c r="L26" s="20">
        <f>SUMIF('GSTR-2B'!$C:$C,$A26,'GSTR-2B'!N:N)</f>
        <v>778.5</v>
      </c>
      <c r="M26" s="20">
        <f>SUMIF('GSTR-2B'!$C:$C,$A26,'GSTR-2B'!O:O)</f>
        <v>0</v>
      </c>
      <c r="N26" s="20"/>
      <c r="O26" s="20">
        <f t="shared" si="0"/>
        <v>0</v>
      </c>
      <c r="P26" s="20">
        <f t="shared" si="1"/>
        <v>0</v>
      </c>
      <c r="Q26" s="20">
        <f t="shared" si="2"/>
        <v>0</v>
      </c>
      <c r="R26" s="20">
        <f t="shared" si="3"/>
        <v>0</v>
      </c>
      <c r="S26" s="20">
        <f t="shared" si="3"/>
        <v>0</v>
      </c>
      <c r="T26" t="s">
        <v>29</v>
      </c>
    </row>
    <row r="27" spans="1:20" x14ac:dyDescent="0.3">
      <c r="A27" s="18" t="s">
        <v>86</v>
      </c>
      <c r="B27" s="18"/>
      <c r="C27" s="20">
        <f>SUMIF(Book!$C:$C,$A27,Book!J:J)</f>
        <v>650666</v>
      </c>
      <c r="D27" s="20">
        <f>SUMIF(Book!$C:$C,$A27,Book!L:L)</f>
        <v>0</v>
      </c>
      <c r="E27" s="20">
        <f>SUMIF(Book!$C:$C,$A27,Book!M:M)</f>
        <v>58559.939999999995</v>
      </c>
      <c r="F27" s="20">
        <f>SUMIF(Book!$C:$C,$A27,Book!N:N)</f>
        <v>58559.939999999995</v>
      </c>
      <c r="G27" s="20">
        <f>SUMIF(Book!$C:$C,$A27,Book!O:O)</f>
        <v>0</v>
      </c>
      <c r="H27" s="20"/>
      <c r="I27" s="20">
        <f>SUMIF('GSTR-2B'!$C:$C,$A27,'GSTR-2B'!J:J)</f>
        <v>650666</v>
      </c>
      <c r="J27" s="20">
        <f>SUMIF('GSTR-2B'!$C:$C,$A27,'GSTR-2B'!L:L)</f>
        <v>0</v>
      </c>
      <c r="K27" s="20">
        <f>SUMIF('GSTR-2B'!$C:$C,$A27,'GSTR-2B'!M:M)</f>
        <v>58559.939999999995</v>
      </c>
      <c r="L27" s="20">
        <f>SUMIF('GSTR-2B'!$C:$C,$A27,'GSTR-2B'!N:N)</f>
        <v>58559.939999999995</v>
      </c>
      <c r="M27" s="20">
        <f>SUMIF('GSTR-2B'!$C:$C,$A27,'GSTR-2B'!O:O)</f>
        <v>0</v>
      </c>
      <c r="N27" s="20"/>
      <c r="O27" s="20">
        <f t="shared" si="0"/>
        <v>0</v>
      </c>
      <c r="P27" s="20">
        <f t="shared" si="1"/>
        <v>0</v>
      </c>
      <c r="Q27" s="20">
        <f t="shared" si="2"/>
        <v>0</v>
      </c>
      <c r="R27" s="20">
        <f t="shared" si="3"/>
        <v>0</v>
      </c>
      <c r="S27" s="20">
        <f t="shared" si="3"/>
        <v>0</v>
      </c>
      <c r="T27" t="s">
        <v>29</v>
      </c>
    </row>
    <row r="28" spans="1:20" x14ac:dyDescent="0.3">
      <c r="A28" s="18" t="s">
        <v>87</v>
      </c>
      <c r="B28" s="18"/>
      <c r="C28" s="20">
        <f>SUMIF(Book!$C:$C,$A28,Book!J:J)</f>
        <v>35695</v>
      </c>
      <c r="D28" s="20">
        <f>SUMIF(Book!$C:$C,$A28,Book!L:L)</f>
        <v>0</v>
      </c>
      <c r="E28" s="20">
        <f>SUMIF(Book!$C:$C,$A28,Book!M:M)</f>
        <v>3212.55</v>
      </c>
      <c r="F28" s="20">
        <f>SUMIF(Book!$C:$C,$A28,Book!N:N)</f>
        <v>3212.55</v>
      </c>
      <c r="G28" s="20">
        <f>SUMIF(Book!$C:$C,$A28,Book!O:O)</f>
        <v>0</v>
      </c>
      <c r="H28" s="20"/>
      <c r="I28" s="20">
        <f>SUMIF('GSTR-2B'!$C:$C,$A28,'GSTR-2B'!J:J)</f>
        <v>35695</v>
      </c>
      <c r="J28" s="20">
        <f>SUMIF('GSTR-2B'!$C:$C,$A28,'GSTR-2B'!L:L)</f>
        <v>0</v>
      </c>
      <c r="K28" s="20">
        <f>SUMIF('GSTR-2B'!$C:$C,$A28,'GSTR-2B'!M:M)</f>
        <v>3212.55</v>
      </c>
      <c r="L28" s="20">
        <f>SUMIF('GSTR-2B'!$C:$C,$A28,'GSTR-2B'!N:N)</f>
        <v>3212.55</v>
      </c>
      <c r="M28" s="20">
        <f>SUMIF('GSTR-2B'!$C:$C,$A28,'GSTR-2B'!O:O)</f>
        <v>0</v>
      </c>
      <c r="N28" s="20"/>
      <c r="O28" s="20">
        <f t="shared" si="0"/>
        <v>0</v>
      </c>
      <c r="P28" s="20">
        <f t="shared" si="1"/>
        <v>0</v>
      </c>
      <c r="Q28" s="20">
        <f t="shared" si="2"/>
        <v>0</v>
      </c>
      <c r="R28" s="20">
        <f t="shared" si="3"/>
        <v>0</v>
      </c>
      <c r="S28" s="20">
        <f t="shared" si="3"/>
        <v>0</v>
      </c>
      <c r="T28" t="s">
        <v>29</v>
      </c>
    </row>
    <row r="29" spans="1:20" x14ac:dyDescent="0.3">
      <c r="A29" s="18" t="s">
        <v>253</v>
      </c>
      <c r="B29" s="18"/>
      <c r="C29" s="20">
        <f>SUMIF(Book!$C:$C,$A29,Book!J:J)</f>
        <v>0</v>
      </c>
      <c r="D29" s="20">
        <f>SUMIF(Book!$C:$C,$A29,Book!L:L)</f>
        <v>0</v>
      </c>
      <c r="E29" s="20">
        <f>SUMIF(Book!$C:$C,$A29,Book!M:M)</f>
        <v>0</v>
      </c>
      <c r="F29" s="20">
        <f>SUMIF(Book!$C:$C,$A29,Book!N:N)</f>
        <v>0</v>
      </c>
      <c r="G29" s="20">
        <f>SUMIF(Book!$C:$C,$A29,Book!O:O)</f>
        <v>0</v>
      </c>
      <c r="H29" s="20"/>
      <c r="I29" s="20">
        <f>SUMIF('GSTR-2B'!$C:$C,$A29,'GSTR-2B'!J:J)</f>
        <v>0</v>
      </c>
      <c r="J29" s="20">
        <f>SUMIF('GSTR-2B'!$C:$C,$A29,'GSTR-2B'!L:L)</f>
        <v>0</v>
      </c>
      <c r="K29" s="20">
        <f>SUMIF('GSTR-2B'!$C:$C,$A29,'GSTR-2B'!M:M)</f>
        <v>0</v>
      </c>
      <c r="L29" s="20">
        <f>SUMIF('GSTR-2B'!$C:$C,$A29,'GSTR-2B'!N:N)</f>
        <v>0</v>
      </c>
      <c r="M29" s="20">
        <f>SUMIF('GSTR-2B'!$C:$C,$A29,'GSTR-2B'!O:O)</f>
        <v>0</v>
      </c>
      <c r="N29" s="20"/>
      <c r="O29" s="20">
        <f t="shared" si="0"/>
        <v>0</v>
      </c>
      <c r="P29" s="20">
        <f t="shared" si="1"/>
        <v>0</v>
      </c>
      <c r="Q29" s="20">
        <f t="shared" si="2"/>
        <v>0</v>
      </c>
      <c r="R29" s="20">
        <f t="shared" si="3"/>
        <v>0</v>
      </c>
      <c r="S29" s="20">
        <f t="shared" si="3"/>
        <v>0</v>
      </c>
      <c r="T29" t="s">
        <v>29</v>
      </c>
    </row>
    <row r="30" spans="1:20" x14ac:dyDescent="0.3">
      <c r="A30" s="18" t="s">
        <v>260</v>
      </c>
      <c r="B30" s="18"/>
      <c r="C30" s="20">
        <f>SUMIF(Book!$C:$C,$A30,Book!J:J)</f>
        <v>0</v>
      </c>
      <c r="D30" s="20">
        <f>SUMIF(Book!$C:$C,$A30,Book!L:L)</f>
        <v>0</v>
      </c>
      <c r="E30" s="20">
        <f>SUMIF(Book!$C:$C,$A30,Book!M:M)</f>
        <v>0</v>
      </c>
      <c r="F30" s="20">
        <f>SUMIF(Book!$C:$C,$A30,Book!N:N)</f>
        <v>0</v>
      </c>
      <c r="G30" s="20">
        <f>SUMIF(Book!$C:$C,$A30,Book!O:O)</f>
        <v>0</v>
      </c>
      <c r="H30" s="20"/>
      <c r="I30" s="20">
        <f>SUMIF('GSTR-2B'!$C:$C,$A30,'GSTR-2B'!J:J)</f>
        <v>0</v>
      </c>
      <c r="J30" s="20">
        <f>SUMIF('GSTR-2B'!$C:$C,$A30,'GSTR-2B'!L:L)</f>
        <v>0</v>
      </c>
      <c r="K30" s="20">
        <f>SUMIF('GSTR-2B'!$C:$C,$A30,'GSTR-2B'!M:M)</f>
        <v>0</v>
      </c>
      <c r="L30" s="20">
        <f>SUMIF('GSTR-2B'!$C:$C,$A30,'GSTR-2B'!N:N)</f>
        <v>0</v>
      </c>
      <c r="M30" s="20">
        <f>SUMIF('GSTR-2B'!$C:$C,$A30,'GSTR-2B'!O:O)</f>
        <v>0</v>
      </c>
      <c r="N30" s="20"/>
      <c r="O30" s="20">
        <f t="shared" si="0"/>
        <v>0</v>
      </c>
      <c r="P30" s="20">
        <f t="shared" si="1"/>
        <v>0</v>
      </c>
      <c r="Q30" s="20">
        <f t="shared" si="2"/>
        <v>0</v>
      </c>
      <c r="R30" s="20">
        <f t="shared" si="3"/>
        <v>0</v>
      </c>
      <c r="S30" s="20">
        <f t="shared" si="3"/>
        <v>0</v>
      </c>
      <c r="T30" t="s">
        <v>29</v>
      </c>
    </row>
    <row r="31" spans="1:20" x14ac:dyDescent="0.3">
      <c r="A31" s="18" t="s">
        <v>264</v>
      </c>
      <c r="B31" s="18"/>
      <c r="C31" s="20">
        <f>SUMIF(Book!$C:$C,$A31,Book!J:J)</f>
        <v>0</v>
      </c>
      <c r="D31" s="20">
        <f>SUMIF(Book!$C:$C,$A31,Book!L:L)</f>
        <v>0</v>
      </c>
      <c r="E31" s="20">
        <f>SUMIF(Book!$C:$C,$A31,Book!M:M)</f>
        <v>0</v>
      </c>
      <c r="F31" s="20">
        <f>SUMIF(Book!$C:$C,$A31,Book!N:N)</f>
        <v>0</v>
      </c>
      <c r="G31" s="20">
        <f>SUMIF(Book!$C:$C,$A31,Book!O:O)</f>
        <v>0</v>
      </c>
      <c r="H31" s="20"/>
      <c r="I31" s="20">
        <f>SUMIF('GSTR-2B'!$C:$C,$A31,'GSTR-2B'!J:J)</f>
        <v>312568</v>
      </c>
      <c r="J31" s="20">
        <f>SUMIF('GSTR-2B'!$C:$C,$A31,'GSTR-2B'!L:L)</f>
        <v>0</v>
      </c>
      <c r="K31" s="20">
        <f>SUMIF('GSTR-2B'!$C:$C,$A31,'GSTR-2B'!M:M)</f>
        <v>28131</v>
      </c>
      <c r="L31" s="20">
        <f>SUMIF('GSTR-2B'!$C:$C,$A31,'GSTR-2B'!N:N)</f>
        <v>28131</v>
      </c>
      <c r="M31" s="20">
        <f>SUMIF('GSTR-2B'!$C:$C,$A31,'GSTR-2B'!O:O)</f>
        <v>0</v>
      </c>
      <c r="N31" s="20"/>
      <c r="O31" s="20">
        <f t="shared" si="0"/>
        <v>-312568</v>
      </c>
      <c r="P31" s="20">
        <f t="shared" si="1"/>
        <v>0</v>
      </c>
      <c r="Q31" s="20">
        <f t="shared" si="2"/>
        <v>-28131</v>
      </c>
      <c r="R31" s="20">
        <f t="shared" si="3"/>
        <v>-28131</v>
      </c>
      <c r="S31" s="20">
        <f t="shared" si="3"/>
        <v>0</v>
      </c>
      <c r="T31" t="s">
        <v>32</v>
      </c>
    </row>
    <row r="32" spans="1:20" x14ac:dyDescent="0.3">
      <c r="A32" s="18"/>
      <c r="B32" s="18"/>
      <c r="C32" s="20">
        <f>SUMIF(Book!$C:$C,$A32,Book!J:J)</f>
        <v>0</v>
      </c>
      <c r="D32" s="20">
        <f>SUMIF(Book!$C:$C,$A32,Book!L:L)</f>
        <v>0</v>
      </c>
      <c r="E32" s="20">
        <f>SUMIF(Book!$C:$C,$A32,Book!M:M)</f>
        <v>0</v>
      </c>
      <c r="F32" s="20">
        <f>SUMIF(Book!$C:$C,$A32,Book!N:N)</f>
        <v>0</v>
      </c>
      <c r="G32" s="20">
        <f>SUMIF(Book!$C:$C,$A32,Book!O:O)</f>
        <v>0</v>
      </c>
      <c r="H32" s="20"/>
      <c r="I32" s="20">
        <f>SUMIF('GSTR-2B'!$C:$C,$A32,'GSTR-2B'!J:J)</f>
        <v>0</v>
      </c>
      <c r="J32" s="20">
        <f>SUMIF('GSTR-2B'!$C:$C,$A32,'GSTR-2B'!L:L)</f>
        <v>0</v>
      </c>
      <c r="K32" s="20">
        <f>SUMIF('GSTR-2B'!$C:$C,$A32,'GSTR-2B'!M:M)</f>
        <v>0</v>
      </c>
      <c r="L32" s="20">
        <f>SUMIF('GSTR-2B'!$C:$C,$A32,'GSTR-2B'!N:N)</f>
        <v>0</v>
      </c>
      <c r="M32" s="20">
        <f>SUMIF('GSTR-2B'!$C:$C,$A32,'GSTR-2B'!O:O)</f>
        <v>0</v>
      </c>
      <c r="N32" s="20"/>
      <c r="O32" s="20">
        <f t="shared" si="0"/>
        <v>0</v>
      </c>
      <c r="P32" s="20">
        <f t="shared" si="1"/>
        <v>0</v>
      </c>
      <c r="Q32" s="20">
        <f t="shared" si="2"/>
        <v>0</v>
      </c>
      <c r="R32" s="20">
        <f t="shared" si="3"/>
        <v>0</v>
      </c>
      <c r="S32" s="20">
        <f t="shared" si="3"/>
        <v>0</v>
      </c>
      <c r="T32" t="s">
        <v>29</v>
      </c>
    </row>
    <row r="33" spans="1:20" x14ac:dyDescent="0.3">
      <c r="A33" s="18"/>
      <c r="B33" s="18"/>
      <c r="C33" s="20">
        <f>SUMIF(Book!$C:$C,$A33,Book!J:J)</f>
        <v>0</v>
      </c>
      <c r="D33" s="20">
        <f>SUMIF(Book!$C:$C,$A33,Book!L:L)</f>
        <v>0</v>
      </c>
      <c r="E33" s="20">
        <f>SUMIF(Book!$C:$C,$A33,Book!M:M)</f>
        <v>0</v>
      </c>
      <c r="F33" s="20">
        <f>SUMIF(Book!$C:$C,$A33,Book!N:N)</f>
        <v>0</v>
      </c>
      <c r="G33" s="20">
        <f>SUMIF(Book!$C:$C,$A33,Book!O:O)</f>
        <v>0</v>
      </c>
      <c r="H33" s="20"/>
      <c r="I33" s="20">
        <f>SUMIF('GSTR-2B'!$C:$C,$A33,'GSTR-2B'!J:J)</f>
        <v>0</v>
      </c>
      <c r="J33" s="20">
        <f>SUMIF('GSTR-2B'!$C:$C,$A33,'GSTR-2B'!L:L)</f>
        <v>0</v>
      </c>
      <c r="K33" s="20">
        <f>SUMIF('GSTR-2B'!$C:$C,$A33,'GSTR-2B'!M:M)</f>
        <v>0</v>
      </c>
      <c r="L33" s="20">
        <f>SUMIF('GSTR-2B'!$C:$C,$A33,'GSTR-2B'!N:N)</f>
        <v>0</v>
      </c>
      <c r="M33" s="20">
        <f>SUMIF('GSTR-2B'!$C:$C,$A33,'GSTR-2B'!O:O)</f>
        <v>0</v>
      </c>
      <c r="N33" s="20"/>
      <c r="O33" s="20">
        <f t="shared" si="0"/>
        <v>0</v>
      </c>
      <c r="P33" s="20">
        <f t="shared" si="1"/>
        <v>0</v>
      </c>
      <c r="Q33" s="20">
        <f t="shared" si="2"/>
        <v>0</v>
      </c>
      <c r="R33" s="20">
        <f t="shared" si="3"/>
        <v>0</v>
      </c>
      <c r="S33" s="20">
        <f t="shared" si="3"/>
        <v>0</v>
      </c>
      <c r="T33" t="s">
        <v>29</v>
      </c>
    </row>
    <row r="34" spans="1:20" x14ac:dyDescent="0.3"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20" x14ac:dyDescent="0.3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20" x14ac:dyDescent="0.3">
      <c r="C36" s="26">
        <f>SUM(C4:C35)</f>
        <v>304315798.87000006</v>
      </c>
      <c r="D36" s="26">
        <f>SUM(D4:D35)</f>
        <v>47697574.880000003</v>
      </c>
      <c r="E36" s="26">
        <f>SUM(E4:E35)</f>
        <v>3539638.47</v>
      </c>
      <c r="F36" s="26">
        <f>SUM(F4:F35)</f>
        <v>3539638.47</v>
      </c>
      <c r="G36" s="26">
        <f>SUM(G4:G35)</f>
        <v>0</v>
      </c>
      <c r="I36" s="26">
        <f>SUM(I4:I35)</f>
        <v>304526059.29000008</v>
      </c>
      <c r="J36" s="26">
        <f>SUM(J4:J35)</f>
        <v>47679159.540000007</v>
      </c>
      <c r="K36" s="26">
        <f>SUM(K4:K35)</f>
        <v>3567766.9600000004</v>
      </c>
      <c r="L36" s="26">
        <f>SUM(L4:L35)</f>
        <v>3567766.9600000004</v>
      </c>
      <c r="M36" s="26">
        <f>SUM(M4:M35)</f>
        <v>0</v>
      </c>
      <c r="O36" s="26">
        <f>SUM(O3:O33)</f>
        <v>-210260.42000000045</v>
      </c>
      <c r="P36" s="26">
        <f>SUM(P3:P33)</f>
        <v>18415.339999996722</v>
      </c>
      <c r="Q36" s="26">
        <f>SUM(Q3:Q33)</f>
        <v>-28128.489999999816</v>
      </c>
      <c r="R36" s="26">
        <f>SUM(R3:R33)</f>
        <v>-28128.489999999816</v>
      </c>
      <c r="S36" s="26">
        <f>SUM(S3:S33)</f>
        <v>0</v>
      </c>
    </row>
    <row r="38" spans="1:20" x14ac:dyDescent="0.3">
      <c r="D38" s="27">
        <v>47697574.880000003</v>
      </c>
      <c r="E38" s="27">
        <v>3539638.47</v>
      </c>
      <c r="F38" s="27">
        <v>3539638.47</v>
      </c>
      <c r="G38" s="27"/>
      <c r="J38" s="8">
        <v>47679159.539999992</v>
      </c>
      <c r="K38" s="8">
        <v>3567766.9600000004</v>
      </c>
      <c r="L38" s="8">
        <v>3567766.9600000004</v>
      </c>
      <c r="P38">
        <v>18415.339999999851</v>
      </c>
      <c r="Q38">
        <v>-28128.489999999991</v>
      </c>
      <c r="R38">
        <v>-28128.489999999991</v>
      </c>
    </row>
    <row r="40" spans="1:20" x14ac:dyDescent="0.3">
      <c r="D40" s="28">
        <f>+D36-D38</f>
        <v>0</v>
      </c>
      <c r="E40" s="28">
        <f t="shared" ref="E40:G40" si="4">+E36-E38</f>
        <v>0</v>
      </c>
      <c r="F40" s="28">
        <f t="shared" si="4"/>
        <v>0</v>
      </c>
      <c r="G40" s="28">
        <f t="shared" si="4"/>
        <v>0</v>
      </c>
      <c r="J40" s="26">
        <f>+J36-J38</f>
        <v>0</v>
      </c>
      <c r="K40" s="26">
        <f t="shared" ref="K40:M40" si="5">+K36-K38</f>
        <v>0</v>
      </c>
      <c r="L40" s="26">
        <f t="shared" si="5"/>
        <v>0</v>
      </c>
      <c r="M40" s="26">
        <f t="shared" si="5"/>
        <v>0</v>
      </c>
      <c r="P40" s="26">
        <f>+P36-P38</f>
        <v>-3.1286617740988731E-9</v>
      </c>
      <c r="Q40" s="26">
        <f t="shared" ref="Q40:S40" si="6">+Q36-Q38</f>
        <v>1.7462298274040222E-10</v>
      </c>
      <c r="R40" s="26">
        <f t="shared" si="6"/>
        <v>1.7462298274040222E-10</v>
      </c>
      <c r="S40" s="26">
        <f t="shared" si="6"/>
        <v>0</v>
      </c>
    </row>
  </sheetData>
  <autoFilter ref="A3:T33" xr:uid="{CD2FCBB7-41D4-41C0-8A56-16BA3BB29BEB}"/>
  <mergeCells count="3">
    <mergeCell ref="C2:G2"/>
    <mergeCell ref="I2:M2"/>
    <mergeCell ref="O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 + Invocie No</vt:lpstr>
      <vt:lpstr>GSTR-2B</vt:lpstr>
      <vt:lpstr>Book</vt:lpstr>
      <vt:lpstr>GST Wise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 Mathia</dc:creator>
  <cp:lastModifiedBy>Viren Mathia</cp:lastModifiedBy>
  <dcterms:created xsi:type="dcterms:W3CDTF">2026-06-26T12:27:30Z</dcterms:created>
  <dcterms:modified xsi:type="dcterms:W3CDTF">2026-09-26T07:26:33Z</dcterms:modified>
</cp:coreProperties>
</file>